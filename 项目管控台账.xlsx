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需求清单" sheetId="2" state="visible" r:id="rId2"/>
    <sheet xmlns:r="http://schemas.openxmlformats.org/officeDocument/2006/relationships" name="需求追踪矩阵" sheetId="3" state="visible" r:id="rId3"/>
    <sheet xmlns:r="http://schemas.openxmlformats.org/officeDocument/2006/relationships" name="WBS与排期" sheetId="4" state="visible" r:id="rId4"/>
    <sheet xmlns:r="http://schemas.openxmlformats.org/officeDocument/2006/relationships" name="里程碑" sheetId="5" state="visible" r:id="rId5"/>
    <sheet xmlns:r="http://schemas.openxmlformats.org/officeDocument/2006/relationships" name="风险登记册" sheetId="6" state="visible" r:id="rId6"/>
    <sheet xmlns:r="http://schemas.openxmlformats.org/officeDocument/2006/relationships" name="测试用例索引" sheetId="7" state="visible" r:id="rId7"/>
    <sheet xmlns:r="http://schemas.openxmlformats.org/officeDocument/2006/relationships" name="变更台账" sheetId="8" state="visible" r:id="rId8"/>
    <sheet xmlns:r="http://schemas.openxmlformats.org/officeDocument/2006/relationships" name="待确认项" sheetId="9" state="visible" r:id="rId9"/>
    <sheet xmlns:r="http://schemas.openxmlformats.org/officeDocument/2006/relationships" name="统计看板" sheetId="10" state="visible" r:id="rId10"/>
  </sheets>
  <definedNames>
    <definedName name="_xlnm._FilterDatabase" localSheetId="1" hidden="1">'需求清单'!$A$2:$K$83</definedName>
    <definedName name="_xlnm._FilterDatabase" localSheetId="2" hidden="1">'需求追踪矩阵'!$A$2:$G$83</definedName>
    <definedName name="_xlnm._FilterDatabase" localSheetId="3" hidden="1">'WBS与排期'!$A$2:$I$52</definedName>
    <definedName name="_xlnm._FilterDatabase" localSheetId="4" hidden="1">'里程碑'!$A$2:$G$10</definedName>
    <definedName name="_xlnm._FilterDatabase" localSheetId="5" hidden="1">'风险登记册'!$A$2:$K$20</definedName>
    <definedName name="_xlnm._FilterDatabase" localSheetId="6" hidden="1">'测试用例索引'!$A$2:$H$80</definedName>
    <definedName name="_xlnm._FilterDatabase" localSheetId="7" hidden="1">'变更台账'!$A$2:$G$6</definedName>
    <definedName name="_xlnm._FilterDatabase" localSheetId="8" hidden="1">'待确认项'!$A$2:$F$10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E7D32"/>
      <sz val="24"/>
    </font>
    <font>
      <name val="微软雅黑"/>
      <color rgb="006B7280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2E7D32"/>
      <sz val="14"/>
    </font>
    <font>
      <name val="微软雅黑"/>
      <b val="1"/>
      <color rgb="002E7D32"/>
      <sz val="12"/>
    </font>
    <font>
      <name val="微软雅黑"/>
      <color rgb="006B7280"/>
      <sz val="10"/>
    </font>
    <font>
      <name val="微软雅黑"/>
      <b val="1"/>
      <color rgb="002E7D32"/>
      <sz val="16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BEB"/>
      </patternFill>
    </fill>
    <fill>
      <patternFill patternType="solid">
        <fgColor rgb="00F5EFE6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4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微软雅黑"/>
        <b val="1"/>
        <color rgb="00B91C1C"/>
        <sz val="10"/>
      </font>
      <fill>
        <patternFill patternType="solid">
          <fgColor rgb="00FEE2E2"/>
        </patternFill>
      </fill>
    </dxf>
    <dxf>
      <font>
        <name val="微软雅黑"/>
        <color rgb="00B45309"/>
        <sz val="10"/>
      </font>
      <fill>
        <patternFill patternType="solid">
          <fgColor rgb="00FEF3C7"/>
        </patternFill>
      </fill>
    </dxf>
    <dxf>
      <font>
        <name val="微软雅黑"/>
        <color rgb="006B7280"/>
        <sz val="10"/>
      </font>
      <fill>
        <patternFill patternType="solid">
          <fgColor rgb="00F3F4F6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各域需求数量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'统计看板'!B3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'统计看板'!$A$4:$A$11</f>
            </numRef>
          </cat>
          <val>
            <numRef>
              <f>'统计看板'!$B$4:$B$11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26" customWidth="1" min="4" max="4"/>
    <col width="22" customWidth="1" min="5" max="5"/>
    <col width="3" customWidth="1" min="6" max="6"/>
  </cols>
  <sheetData>
    <row r="2">
      <c r="B2" s="1" t="inlineStr">
        <is>
          <t>助农直播管理系统 · 项目管控台账</t>
        </is>
      </c>
    </row>
    <row r="3"/>
    <row r="4">
      <c r="B4" s="2" t="inlineStr">
        <is>
          <t>需求 · 追踪矩阵 · WBS · 风险 · 里程碑 · 测试 · 变更 · 待确认</t>
        </is>
      </c>
    </row>
    <row r="6">
      <c r="B6" s="3" t="inlineStr">
        <is>
          <t>文档版本</t>
        </is>
      </c>
      <c r="C6" s="4" t="inlineStr">
        <is>
          <t>v1.0（G1 基线候选）</t>
        </is>
      </c>
    </row>
    <row r="7">
      <c r="B7" s="3" t="inlineStr">
        <is>
          <t>编制</t>
        </is>
      </c>
      <c r="C7" s="4" t="inlineStr">
        <is>
          <t>P1 项目&amp;产品负责人</t>
        </is>
      </c>
    </row>
    <row r="8">
      <c r="B8" s="3" t="inlineStr">
        <is>
          <t>基准日期</t>
        </is>
      </c>
      <c r="C8" s="4" t="inlineStr">
        <is>
          <t>2026-10-19</t>
        </is>
      </c>
    </row>
    <row r="9">
      <c r="B9" s="3" t="inlineStr">
        <is>
          <t>项目周期</t>
        </is>
      </c>
      <c r="C9" s="4" t="inlineStr">
        <is>
          <t>2026-10-19 ~ 2027-02-05（W16 缓冲）</t>
        </is>
      </c>
    </row>
    <row r="10">
      <c r="B10" s="3" t="inlineStr">
        <is>
          <t>唯一事实源</t>
        </is>
      </c>
      <c r="C10" s="4" t="inlineStr">
        <is>
          <t>docs/ 目录（本表为派生管理视图）</t>
        </is>
      </c>
    </row>
    <row r="12">
      <c r="B12" s="5" t="inlineStr">
        <is>
          <t>关键数字</t>
        </is>
      </c>
    </row>
    <row r="13">
      <c r="B13" s="6" t="inlineStr">
        <is>
          <t>功能需求  81</t>
        </is>
      </c>
      <c r="D13" s="6" t="inlineStr">
        <is>
          <t>测试用例  78</t>
        </is>
      </c>
    </row>
    <row r="14">
      <c r="B14" s="7" t="inlineStr">
        <is>
          <t>P0 60 / P1 18 / P2 3</t>
        </is>
      </c>
      <c r="D14" s="7" t="inlineStr">
        <is>
          <t>P0 60 / P1 15 / P2 3</t>
        </is>
      </c>
    </row>
    <row r="15">
      <c r="B15" s="6" t="inlineStr">
        <is>
          <t>业务接口  89</t>
        </is>
      </c>
      <c r="D15" s="6" t="inlineStr">
        <is>
          <t>数据表  33</t>
        </is>
      </c>
    </row>
    <row r="16">
      <c r="B16" s="7" t="inlineStr">
        <is>
          <t>含 1 个 SSE</t>
        </is>
      </c>
      <c r="D16" s="7" t="inlineStr">
        <is>
          <t>业务 20 + 权限审计 8 + AI 5</t>
        </is>
      </c>
    </row>
    <row r="17">
      <c r="B17" s="6" t="inlineStr">
        <is>
          <t>文档  27</t>
        </is>
      </c>
      <c r="D17" s="6" t="inlineStr">
        <is>
          <t>工期  16 周</t>
        </is>
      </c>
    </row>
    <row r="18">
      <c r="B18" s="7" t="inlineStr">
        <is>
          <t>6 类 + README</t>
        </is>
      </c>
      <c r="D18" s="7" t="inlineStr">
        <is>
          <t>15 周执行 + 1 周缓冲</t>
        </is>
      </c>
    </row>
    <row r="19">
      <c r="B19" s="5" t="inlineStr">
        <is>
          <t>工作表索引</t>
        </is>
      </c>
    </row>
    <row r="20">
      <c r="B20" s="3" t="inlineStr">
        <is>
          <t>• 需求清单</t>
        </is>
      </c>
      <c r="C20" s="4" t="inlineStr">
        <is>
          <t>81 条 REQ，含优先级/迭代/验收要点/状态（可编辑）</t>
        </is>
      </c>
    </row>
    <row r="21">
      <c r="B21" s="3" t="inlineStr">
        <is>
          <t>• 需求追踪矩阵</t>
        </is>
      </c>
      <c r="C21" s="4" t="inlineStr">
        <is>
          <t>REQ ↔ 设计 ↔ API ↔ 数据表 ↔ 用例</t>
        </is>
      </c>
    </row>
    <row r="22">
      <c r="B22" s="3" t="inlineStr">
        <is>
          <t>• WBS与排期</t>
        </is>
      </c>
      <c r="C22" s="4" t="inlineStr">
        <is>
          <t>10 个工作包、50 项任务（含汇总）、周次与责任人</t>
        </is>
      </c>
    </row>
    <row r="23">
      <c r="B23" s="3" t="inlineStr">
        <is>
          <t>• 里程碑</t>
        </is>
      </c>
      <c r="C23" s="4" t="inlineStr">
        <is>
          <t>M0–M7 与 G0–G5 门禁</t>
        </is>
      </c>
    </row>
    <row r="24">
      <c r="B24" s="3" t="inlineStr">
        <is>
          <t>• 风险登记册</t>
        </is>
      </c>
      <c r="C24" s="4" t="inlineStr">
        <is>
          <t>18 项风险，概率×影响评分与应对</t>
        </is>
      </c>
    </row>
    <row r="25">
      <c r="B25" s="3" t="inlineStr">
        <is>
          <t>• 测试用例索引</t>
        </is>
      </c>
      <c r="C25" s="4" t="inlineStr">
        <is>
          <t>78 条用例，执行状态与缺陷号可填</t>
        </is>
      </c>
    </row>
    <row r="26">
      <c r="B26" s="3" t="inlineStr">
        <is>
          <t>• 变更台账</t>
        </is>
      </c>
      <c r="C26" s="4" t="inlineStr">
        <is>
          <t>C1–C4 变更记录</t>
        </is>
      </c>
    </row>
    <row r="27">
      <c r="B27" s="3" t="inlineStr">
        <is>
          <t>• 待确认项</t>
        </is>
      </c>
      <c r="C27" s="4" t="inlineStr">
        <is>
          <t>Q1–Q8，G1 前需闭环</t>
        </is>
      </c>
    </row>
    <row r="28">
      <c r="B28" s="3" t="inlineStr">
        <is>
          <t>• 统计看板</t>
        </is>
      </c>
      <c r="C28" s="4" t="inlineStr">
        <is>
          <t>按域/优先级/迭代/状态自动汇总</t>
        </is>
      </c>
    </row>
    <row r="30" ht="22" customHeight="1">
      <c r="B30" s="8" t="inlineStr">
        <is>
          <t>使用说明：
1. 本表是 docs/ 文档的派生视图，冲突时以 docs/ 为准；需求/用例变更后请重跑生成脚本或同步修改。
2. 需求清单与测试用例索引的“状态”列可下拉更新，用于周会/迭代评审。
3. 优先级：P0 必须、P1 应当、P2 可选；红色为 P0，请优先保障。
4. 风险评分 = 概率 × 影响；≥15 为高风险，需每周跟踪。</t>
        </is>
      </c>
    </row>
    <row r="31" ht="22" customHeight="1"/>
    <row r="32" ht="22" customHeight="1"/>
    <row r="33" ht="22" customHeight="1"/>
  </sheetData>
  <mergeCells count="31">
    <mergeCell ref="B16:C16"/>
    <mergeCell ref="C22:E22"/>
    <mergeCell ref="C9:E9"/>
    <mergeCell ref="B18:C18"/>
    <mergeCell ref="B2:E3"/>
    <mergeCell ref="C21:E21"/>
    <mergeCell ref="C27:E27"/>
    <mergeCell ref="B4:E4"/>
    <mergeCell ref="D13:E13"/>
    <mergeCell ref="C23:E23"/>
    <mergeCell ref="C8:E8"/>
    <mergeCell ref="B14:C14"/>
    <mergeCell ref="B17:C17"/>
    <mergeCell ref="C7:E7"/>
    <mergeCell ref="D17:E17"/>
    <mergeCell ref="B13:C13"/>
    <mergeCell ref="D16:E16"/>
    <mergeCell ref="C28:E28"/>
    <mergeCell ref="B12:E12"/>
    <mergeCell ref="B30:E33"/>
    <mergeCell ref="D18:E18"/>
    <mergeCell ref="C6:E6"/>
    <mergeCell ref="C24:E24"/>
    <mergeCell ref="B15:C15"/>
    <mergeCell ref="D15:E15"/>
    <mergeCell ref="D14:E14"/>
    <mergeCell ref="C26:E26"/>
    <mergeCell ref="B19:E19"/>
    <mergeCell ref="C20:E20"/>
    <mergeCell ref="C25:E25"/>
    <mergeCell ref="C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K8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8" customWidth="1" min="4" max="4"/>
    <col width="7" customWidth="1" min="5" max="5"/>
    <col width="18" customWidth="1" min="6" max="6"/>
    <col width="40" customWidth="1" min="7" max="7"/>
    <col width="24" customWidth="1" min="8" max="8"/>
    <col width="28" customWidth="1" min="9" max="9"/>
    <col width="12" customWidth="1" min="10" max="10"/>
    <col width="60" customWidth="1" min="11" max="11"/>
  </cols>
  <sheetData>
    <row r="1" ht="34" customHeight="1">
      <c r="A1" s="9" t="inlineStr">
        <is>
          <t>需求清单 · 81 条（唯一编号，状态可下拉更新）</t>
        </is>
      </c>
    </row>
    <row r="2" ht="30" customHeight="1">
      <c r="A2" s="10" t="inlineStr">
        <is>
          <t>需求编号</t>
        </is>
      </c>
      <c r="B2" s="10" t="inlineStr">
        <is>
          <t>域</t>
        </is>
      </c>
      <c r="C2" s="10" t="inlineStr">
        <is>
          <t>需求名称</t>
        </is>
      </c>
      <c r="D2" s="10" t="inlineStr">
        <is>
          <t>优先级</t>
        </is>
      </c>
      <c r="E2" s="10" t="inlineStr">
        <is>
          <t>迭代</t>
        </is>
      </c>
      <c r="F2" s="10" t="inlineStr">
        <is>
          <t>设计章节</t>
        </is>
      </c>
      <c r="G2" s="10" t="inlineStr">
        <is>
          <t>接口</t>
        </is>
      </c>
      <c r="H2" s="10" t="inlineStr">
        <is>
          <t>数据表</t>
        </is>
      </c>
      <c r="I2" s="10" t="inlineStr">
        <is>
          <t>用例</t>
        </is>
      </c>
      <c r="J2" s="10" t="inlineStr">
        <is>
          <t>状态</t>
        </is>
      </c>
      <c r="K2" s="10" t="inlineStr">
        <is>
          <t>验收要点</t>
        </is>
      </c>
    </row>
    <row r="3" ht="58" customHeight="1">
      <c r="A3" s="11" t="inlineStr">
        <is>
          <t>REQ-BASE-01</t>
        </is>
      </c>
      <c r="B3" s="11" t="inlineStr">
        <is>
          <t>BASE</t>
        </is>
      </c>
      <c r="C3" s="11" t="inlineStr">
        <is>
          <t>农户建档与禁存字段</t>
        </is>
      </c>
      <c r="D3" s="11" t="inlineStr">
        <is>
          <t>P0</t>
        </is>
      </c>
      <c r="E3" s="11" t="inlineStr">
        <is>
          <t>S1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  <c r="J3" s="11" t="inlineStr">
        <is>
          <t>⬜ 未开始</t>
        </is>
      </c>
      <c r="K3" s="11" t="inlineStr">
        <is>
          <t>提交合法农户信息后，列表 1 秒内出现该记录，字段与录入一致。；请求体中出现 `idCard`/`address`/`bankCard` 任一字段时返回 `400 PARAM_FORBIDDEN`，且数据库零落库。；农户 ID 重复提交返回 `409`，不产生第二条记录。</t>
        </is>
      </c>
    </row>
    <row r="4" ht="58" customHeight="1">
      <c r="A4" s="11" t="inlineStr">
        <is>
          <t>REQ-BASE-02</t>
        </is>
      </c>
      <c r="B4" s="11" t="inlineStr">
        <is>
          <t>BASE</t>
        </is>
      </c>
      <c r="C4" s="11" t="inlineStr">
        <is>
          <t>手机号脱敏展示</t>
        </is>
      </c>
      <c r="D4" s="11" t="inlineStr">
        <is>
          <t>P0</t>
        </is>
      </c>
      <c r="E4" s="11" t="inlineStr">
        <is>
          <t>S1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  <c r="J4" s="11" t="inlineStr">
        <is>
          <t>⬜ 未开始</t>
        </is>
      </c>
      <c r="K4" s="11" t="inlineStr">
        <is>
          <t>管理员列表与农户端均显示 `138****5678` 格式（前 3 后 4）。；非本人农户访问他人详情返回 `403`，响应体不含手机号任何片段。；系统管理员查看完整号码必须通过二次验证并填写原因，成功/失败均写入审计日志；直播管理员无查看入口，调用返回 `403`。</t>
        </is>
      </c>
    </row>
    <row r="5" ht="58" customHeight="1">
      <c r="A5" s="11" t="inlineStr">
        <is>
          <t>REQ-BASE-03</t>
        </is>
      </c>
      <c r="B5" s="11" t="inlineStr">
        <is>
          <t>BASE</t>
        </is>
      </c>
      <c r="C5" s="11" t="inlineStr">
        <is>
          <t>资质材料上传与审核状态</t>
        </is>
      </c>
      <c r="D5" s="11" t="inlineStr">
        <is>
          <t>P0</t>
        </is>
      </c>
      <c r="E5" s="11" t="inlineStr">
        <is>
          <t>S1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⬜ 未开始</t>
        </is>
      </c>
      <c r="K5" s="11" t="inlineStr">
        <is>
          <t>超类型或超大小上传返回 `400`，并提示允许的格式与上限。；上传成功后文件加密存储，访问链接为 15 分钟有效的签名 URL，过期访问返回 `403`。；状态流转仅允许 待审核→已认证/未通过；未通过必须填原因；非法流转返回 `409`。</t>
        </is>
      </c>
    </row>
    <row r="6" ht="58" customHeight="1">
      <c r="A6" s="11" t="inlineStr">
        <is>
          <t>REQ-BASE-04</t>
        </is>
      </c>
      <c r="B6" s="11" t="inlineStr">
        <is>
          <t>BASE</t>
        </is>
      </c>
      <c r="C6" s="11" t="inlineStr">
        <is>
          <t>农户信息更新留痕</t>
        </is>
      </c>
      <c r="D6" s="11" t="inlineStr">
        <is>
          <t>P1</t>
        </is>
      </c>
      <c r="E6" s="11" t="inlineStr">
        <is>
          <t>S1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inlineStr">
        <is>
          <t>⬜ 未开始</t>
        </is>
      </c>
      <c r="K6" s="11" t="inlineStr">
        <is>
          <t>原因少于 5 字返回 `400`。；每次更新生成 1 条 `operation_log`（action=`FARMER_UPDATE`），含操作人、时间、原因、before/after JSON。；同一字段连续更新 3 次，日志可完整还原 3 个版本。</t>
        </is>
      </c>
    </row>
    <row r="7" ht="58" customHeight="1">
      <c r="A7" s="11" t="inlineStr">
        <is>
          <t>REQ-BASE-05</t>
        </is>
      </c>
      <c r="B7" s="11" t="inlineStr">
        <is>
          <t>BASE</t>
        </is>
      </c>
      <c r="C7" s="11" t="inlineStr">
        <is>
          <t>直播设备建档与编号规则</t>
        </is>
      </c>
      <c r="D7" s="11" t="inlineStr">
        <is>
          <t>P0</t>
        </is>
      </c>
      <c r="E7" s="11" t="inlineStr">
        <is>
          <t>S1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  <c r="J7" s="11" t="inlineStr">
        <is>
          <t>⬜ 未开始</t>
        </is>
      </c>
      <c r="K7" s="11" t="inlineStr">
        <is>
          <t>场地编号 `C001` 下新增第 1 台设备，编号必须为 `ZB-C001-01`，第 10 台为 `ZB-C001-10`。；编号由系统生成，前端传入自定义编号返回 `400`；全系统编号唯一。；删除设备采用逻辑删除，历史预约仍可关联查询。</t>
        </is>
      </c>
    </row>
    <row r="8" ht="58" customHeight="1">
      <c r="A8" s="11" t="inlineStr">
        <is>
          <t>REQ-BASE-06</t>
        </is>
      </c>
      <c r="B8" s="11" t="inlineStr">
        <is>
          <t>BASE</t>
        </is>
      </c>
      <c r="C8" s="11" t="inlineStr">
        <is>
          <t>设备状态管理</t>
        </is>
      </c>
      <c r="D8" s="11" t="inlineStr">
        <is>
          <t>P0</t>
        </is>
      </c>
      <c r="E8" s="11" t="inlineStr">
        <is>
          <t>S1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⬜ 未开始</t>
        </is>
      </c>
      <c r="K8" s="11" t="inlineStr">
        <is>
          <t>状态改为"维修"时原因与预计恢复时间必填，缺失返回 `400`。；维修/停用设备不出现在可预约资源列表中，直接指定其预约返回 `409 DEVICE_UNAVAILABLE`。；每次状态变更写入操作日志（含状态前后值）。</t>
        </is>
      </c>
    </row>
    <row r="9" ht="58" customHeight="1">
      <c r="A9" s="11" t="inlineStr">
        <is>
          <t>REQ-BASE-07</t>
        </is>
      </c>
      <c r="B9" s="11" t="inlineStr">
        <is>
          <t>BASE</t>
        </is>
      </c>
      <c r="C9" s="11" t="inlineStr">
        <is>
          <t>校准周期与到期提醒</t>
        </is>
      </c>
      <c r="D9" s="11" t="inlineStr">
        <is>
          <t>P2</t>
        </is>
      </c>
      <c r="E9" s="11" t="inlineStr">
        <is>
          <t>S4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⬜ 未开始</t>
        </is>
      </c>
      <c r="K9" s="11" t="inlineStr">
        <is>
          <t>距到期 ≤7 天，生成 1 条站内 + 1 条短信提醒，同一设备同一到期日不重复。；过期后设备状态展示"待校准"，是否禁止预约由配置项 `device.calibration.block=true/false` 控制。</t>
        </is>
      </c>
    </row>
    <row r="10" ht="58" customHeight="1">
      <c r="A10" s="11" t="inlineStr">
        <is>
          <t>REQ-BASE-08</t>
        </is>
      </c>
      <c r="B10" s="11" t="inlineStr">
        <is>
          <t>BASE</t>
        </is>
      </c>
      <c r="C10" s="11" t="inlineStr">
        <is>
          <t>直播场地建档</t>
        </is>
      </c>
      <c r="D10" s="11" t="inlineStr">
        <is>
          <t>P0</t>
        </is>
      </c>
      <c r="E10" s="11" t="inlineStr">
        <is>
          <t>S1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⬜ 未开始</t>
        </is>
      </c>
      <c r="K10" s="11" t="inlineStr">
        <is>
          <t>开放时段 `start &lt; end` 且在同一天，否则返回 `400`。；容纳人数为 1–999 的正整数。；场地详情实时汇总其下设备数量与状态分布。</t>
        </is>
      </c>
    </row>
    <row r="11" ht="58" customHeight="1">
      <c r="A11" s="11" t="inlineStr">
        <is>
          <t>REQ-BASE-09</t>
        </is>
      </c>
      <c r="B11" s="11" t="inlineStr">
        <is>
          <t>BASE</t>
        </is>
      </c>
      <c r="C11" s="11" t="inlineStr">
        <is>
          <t>设备-场地一致性</t>
        </is>
      </c>
      <c r="D11" s="11" t="inlineStr">
        <is>
          <t>P0</t>
        </is>
      </c>
      <c r="E11" s="11" t="inlineStr">
        <is>
          <t>S1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⬜ 未开始</t>
        </is>
      </c>
      <c r="K11" s="11" t="inlineStr">
        <is>
          <t>绑定不存在的场地返回 `404`。；跨场地变更时前端二次确认，后端记录原场地与新场地。；场地停用后其设备不可被新预约选中。</t>
        </is>
      </c>
    </row>
    <row r="12" ht="58" customHeight="1">
      <c r="A12" s="11" t="inlineStr">
        <is>
          <t>REQ-BASE-10</t>
        </is>
      </c>
      <c r="B12" s="11" t="inlineStr">
        <is>
          <t>BASE</t>
        </is>
      </c>
      <c r="C12" s="11" t="inlineStr">
        <is>
          <t>资源空闲查询</t>
        </is>
      </c>
      <c r="D12" s="11" t="inlineStr">
        <is>
          <t>P0</t>
        </is>
      </c>
      <c r="E12" s="11" t="inlineStr">
        <is>
          <t>S1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⬜ 未开始</t>
        </is>
      </c>
      <c r="K12" s="11" t="inlineStr">
        <is>
          <t>返回结果中不包含被占用、维修、停用、待校准（若禁止）的资源。；查询 7 天 × 12 时段，响应 P95 ≤1.5 秒。；无可用资源时返回空列表 + `available=false`，不报错。</t>
        </is>
      </c>
    </row>
    <row r="13" ht="58" customHeight="1">
      <c r="A13" s="11" t="inlineStr">
        <is>
          <t>REQ-BASE-11</t>
        </is>
      </c>
      <c r="B13" s="11" t="inlineStr">
        <is>
          <t>BASE</t>
        </is>
      </c>
      <c r="C13" s="11" t="inlineStr">
        <is>
          <t>多条件查询与筛选</t>
        </is>
      </c>
      <c r="D13" s="11" t="inlineStr">
        <is>
          <t>P0</t>
        </is>
      </c>
      <c r="E13" s="11" t="inlineStr">
        <is>
          <t>S1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⬜ 未开始</t>
        </is>
      </c>
      <c r="K13" s="11" t="inlineStr">
        <is>
          <t>组合筛选结果与逐条人工核对一致；分页 20/50/100 可切换。；设备维修记录仅管理员可见，农户端接口不返回该字段。；模糊查询输入 `%`、`_` 等通配符按字面量处理，不扩大结果集。</t>
        </is>
      </c>
    </row>
    <row r="14" ht="58" customHeight="1">
      <c r="A14" s="11" t="inlineStr">
        <is>
          <t>REQ-BASE-12</t>
        </is>
      </c>
      <c r="B14" s="11" t="inlineStr">
        <is>
          <t>BASE</t>
        </is>
      </c>
      <c r="C14" s="11" t="inlineStr">
        <is>
          <t>第三方助农平台同步（可选）</t>
        </is>
      </c>
      <c r="D14" s="11" t="inlineStr">
        <is>
          <t>P2</t>
        </is>
      </c>
      <c r="E14" s="11" t="inlineStr">
        <is>
          <t>S5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⬜ 未开始</t>
        </is>
      </c>
      <c r="K14" s="11" t="inlineStr">
        <is>
          <t>开关关闭时系统不发起任何外部请求。；开启后按增量同步，失败重试 3 次（1/5/15 分钟），仍失败告警并保留待同步队列。；字段冲突以本系统为准，冲突记录可查；同步不覆盖已审核资质状态。</t>
        </is>
      </c>
    </row>
    <row r="15" ht="58" customHeight="1">
      <c r="A15" s="11" t="inlineStr">
        <is>
          <t>REQ-BASE-13</t>
        </is>
      </c>
      <c r="B15" s="11" t="inlineStr">
        <is>
          <t>BASE</t>
        </is>
      </c>
      <c r="C15" s="11" t="inlineStr">
        <is>
          <t>农户认证状态与预约资格</t>
        </is>
      </c>
      <c r="D15" s="11" t="inlineStr">
        <is>
          <t>P0</t>
        </is>
      </c>
      <c r="E15" s="11" t="inlineStr">
        <is>
          <t>S1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⬜ 未开始</t>
        </is>
      </c>
      <c r="K15" s="11" t="inlineStr">
        <is>
          <t>未认证农户调用预约接口返回 `403 FARMER_NOT_CERTIFIED`，附引导文案。；停用农户登录返回 `403 ACCOUNT_DISABLED`，已登录会话 5 分钟内失效。；资质过期（到期日 &lt; 当日）自动转为"待审核"，并通知农户与管理员。</t>
        </is>
      </c>
    </row>
    <row r="16" ht="58" customHeight="1">
      <c r="A16" s="11" t="inlineStr">
        <is>
          <t>REQ-BOOK-01</t>
        </is>
      </c>
      <c r="B16" s="11" t="inlineStr">
        <is>
          <t>BOOK</t>
        </is>
      </c>
      <c r="C16" s="11" t="inlineStr">
        <is>
          <t>预约提交（仅农户）</t>
        </is>
      </c>
      <c r="D16" s="11" t="inlineStr">
        <is>
          <t>P0</t>
        </is>
      </c>
      <c r="E16" s="11" t="inlineStr">
        <is>
          <t>S2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⬜ 未开始</t>
        </is>
      </c>
      <c r="K16" s="11" t="inlineStr">
        <is>
          <t>农户提交合法表单返回 `201` + `bookingId`，状态 `PENDING_REVIEW`。；管理员/统计员调用返回 `403`；未登录返回 `401`。；必填项缺失返回 `400`，`errors` 精确到字段名与原因。</t>
        </is>
      </c>
    </row>
    <row r="17" ht="58" customHeight="1">
      <c r="A17" s="11" t="inlineStr">
        <is>
          <t>REQ-BOOK-02</t>
        </is>
      </c>
      <c r="B17" s="11" t="inlineStr">
        <is>
          <t>BOOK</t>
        </is>
      </c>
      <c r="C17" s="11" t="inlineStr">
        <is>
          <t>时段规则校验</t>
        </is>
      </c>
      <c r="D17" s="11" t="inlineStr">
        <is>
          <t>P0</t>
        </is>
      </c>
      <c r="E17" s="11" t="inlineStr">
        <is>
          <t>S2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⬜ 未开始</t>
        </is>
      </c>
      <c r="K17" s="11" t="inlineStr">
        <is>
          <t>非整点（如 10:30）返回 `400 SLOT_NOT_ALIGNED`。；跨天（23:00–01:00）返回 `400 SLOT_CROSS_DAY`。；开始时间距当前 &lt;2 小时返回 `400 SLOT_TOO_SOON`；&gt;30 天返回 `400 SLOT_TOO_FAR`。</t>
        </is>
      </c>
    </row>
    <row r="18" ht="58" customHeight="1">
      <c r="A18" s="11" t="inlineStr">
        <is>
          <t>REQ-BOOK-03</t>
        </is>
      </c>
      <c r="B18" s="11" t="inlineStr">
        <is>
          <t>BOOK</t>
        </is>
      </c>
      <c r="C18" s="11" t="inlineStr">
        <is>
          <t>资源冲突校验</t>
        </is>
      </c>
      <c r="D18" s="11" t="inlineStr">
        <is>
          <t>P0</t>
        </is>
      </c>
      <c r="E18" s="11" t="inlineStr">
        <is>
          <t>S2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⬜ 未开始</t>
        </is>
      </c>
      <c r="K18" s="11" t="inlineStr">
        <is>
          <t>设备或场地任一小时重叠，返回 `409 RESOURCE_CONFLICT`，列出冲突资源编号与占用方（脱敏）。；100 个并发请求争抢同一设备同一时段，仅 1 个成功，其余 409，数据库无重叠占用记录。；审核通过时二次校验；若期间被占，返回 409 并提示重新选择，不静默失败。</t>
        </is>
      </c>
    </row>
    <row r="19" ht="58" customHeight="1">
      <c r="A19" s="11" t="inlineStr">
        <is>
          <t>REQ-BOOK-04</t>
        </is>
      </c>
      <c r="B19" s="11" t="inlineStr">
        <is>
          <t>BOOK</t>
        </is>
      </c>
      <c r="C19" s="11" t="inlineStr">
        <is>
          <t>农产品清单校验</t>
        </is>
      </c>
      <c r="D19" s="11" t="inlineStr">
        <is>
          <t>P0</t>
        </is>
      </c>
      <c r="E19" s="11" t="inlineStr">
        <is>
          <t>S2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⬜ 未开始</t>
        </is>
      </c>
      <c r="K19" s="11" t="inlineStr">
        <is>
          <t>0 项或 &gt;20 项返回 `400`。；名称 2–30 字、规格 ≤30 字，超限返回字段级错误。；同一预约内名称重复（忽略空格/大小写）返回 `400 DUPLICATE_PRODUCT`。</t>
        </is>
      </c>
    </row>
    <row r="20" ht="58" customHeight="1">
      <c r="A20" s="11" t="inlineStr">
        <is>
          <t>REQ-BOOK-05</t>
        </is>
      </c>
      <c r="B20" s="11" t="inlineStr">
        <is>
          <t>BOOK</t>
        </is>
      </c>
      <c r="C20" s="11" t="inlineStr">
        <is>
          <t>提交幂等与防重</t>
        </is>
      </c>
      <c r="D20" s="11" t="inlineStr">
        <is>
          <t>P0</t>
        </is>
      </c>
      <c r="E20" s="11" t="inlineStr">
        <is>
          <t>S2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—</t>
        </is>
      </c>
      <c r="J20" s="11" t="inlineStr">
        <is>
          <t>⬜ 未开始</t>
        </is>
      </c>
      <c r="K20" s="11" t="inlineStr">
        <is>
          <t>携带相同 `Idempotency-Key` 重复提交，返回首次的 `bookingId` 与 `200`，不新增记录。；5 分钟内同农户 + 同主题 + 同时段再次提交，返回 `409 DUPLICATE_BOOKING` 并给出已有预约号。；幂等键缺失时按"农户 + 主题 + 时段"做业务防重。</t>
        </is>
      </c>
    </row>
    <row r="21" ht="58" customHeight="1">
      <c r="A21" s="11" t="inlineStr">
        <is>
          <t>REQ-BOOK-06</t>
        </is>
      </c>
      <c r="B21" s="11" t="inlineStr">
        <is>
          <t>BOOK</t>
        </is>
      </c>
      <c r="C21" s="11" t="inlineStr">
        <is>
          <t>审核列表与筛选</t>
        </is>
      </c>
      <c r="D21" s="11" t="inlineStr">
        <is>
          <t>P0</t>
        </is>
      </c>
      <c r="E21" s="11" t="inlineStr">
        <is>
          <t>S2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⬜ 未开始</t>
        </is>
      </c>
      <c r="K21" s="11" t="inlineStr">
        <is>
          <t>新预约提交后 ≤5 秒出现在待审核列表首位（按提交时间倒序）。；三个筛选条件可任意组合，结果与条件一致；默认展示"待审核"。；农户/统计员访问审核列表返回 `403`。</t>
        </is>
      </c>
    </row>
    <row r="22" ht="58" customHeight="1">
      <c r="A22" s="11" t="inlineStr">
        <is>
          <t>REQ-BOOK-07</t>
        </is>
      </c>
      <c r="B22" s="11" t="inlineStr">
        <is>
          <t>BOOK</t>
        </is>
      </c>
      <c r="C22" s="11" t="inlineStr">
        <is>
          <t>审核通过</t>
        </is>
      </c>
      <c r="D22" s="11" t="inlineStr">
        <is>
          <t>P0</t>
        </is>
      </c>
      <c r="E22" s="11" t="inlineStr">
        <is>
          <t>S2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—</t>
        </is>
      </c>
      <c r="J22" s="11" t="inlineStr">
        <is>
          <t>⬜ 未开始</t>
        </is>
      </c>
      <c r="K22" s="11" t="inlineStr">
        <is>
          <t>通过后状态 `APPROVED`，资源占用记录生成，农户收到站内通知（≤10 秒）。；重复审核同一预约返回 `409 INVALID_STATE`，不重复占用资源。；通过操作必须记录审核人、时间与意见（意见可空）。</t>
        </is>
      </c>
    </row>
    <row r="23" ht="58" customHeight="1">
      <c r="A23" s="11" t="inlineStr">
        <is>
          <t>REQ-BOOK-08</t>
        </is>
      </c>
      <c r="B23" s="11" t="inlineStr">
        <is>
          <t>BOOK</t>
        </is>
      </c>
      <c r="C23" s="11" t="inlineStr">
        <is>
          <t>审核驳回</t>
        </is>
      </c>
      <c r="D23" s="11" t="inlineStr">
        <is>
          <t>P0</t>
        </is>
      </c>
      <c r="E23" s="11" t="inlineStr">
        <is>
          <t>S2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⬜ 未开始</t>
        </is>
      </c>
      <c r="K23" s="11" t="inlineStr">
        <is>
          <t>原因 &lt;5 字或未填推荐时间返回 `400`。；推荐时间若与现有占用冲突返回 `409`，要求重新选择。；状态置 `REJECTED`，通知内容包含原因与推荐时间，农户可从通知直达重新预约页。</t>
        </is>
      </c>
    </row>
    <row r="24" ht="58" customHeight="1">
      <c r="A24" s="11" t="inlineStr">
        <is>
          <t>REQ-BOOK-09</t>
        </is>
      </c>
      <c r="B24" s="11" t="inlineStr">
        <is>
          <t>BOOK</t>
        </is>
      </c>
      <c r="C24" s="11" t="inlineStr">
        <is>
          <t>审核 SLA 提醒</t>
        </is>
      </c>
      <c r="D24" s="11" t="inlineStr">
        <is>
          <t>P1</t>
        </is>
      </c>
      <c r="E24" s="11" t="inlineStr">
        <is>
          <t>S4</t>
        </is>
      </c>
      <c r="F24" s="11" t="inlineStr">
        <is>
          <t>—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—</t>
        </is>
      </c>
      <c r="J24" s="11" t="inlineStr">
        <is>
          <t>⬜ 未开始</t>
        </is>
      </c>
      <c r="K24" s="11" t="inlineStr">
        <is>
          <t>每满 24 小时生成 1 条管理员提醒，同一预约每日最多 1 条。；审核后不再产生提醒。</t>
        </is>
      </c>
    </row>
    <row r="25" ht="58" customHeight="1">
      <c r="A25" s="11" t="inlineStr">
        <is>
          <t>REQ-BOOK-10</t>
        </is>
      </c>
      <c r="B25" s="11" t="inlineStr">
        <is>
          <t>BOOK</t>
        </is>
      </c>
      <c r="C25" s="11" t="inlineStr">
        <is>
          <t>预约调整申请（≥12 小时）</t>
        </is>
      </c>
      <c r="D25" s="11" t="inlineStr">
        <is>
          <t>P0</t>
        </is>
      </c>
      <c r="E25" s="11" t="inlineStr">
        <is>
          <t>S3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—</t>
        </is>
      </c>
      <c r="I25" s="11" t="inlineStr">
        <is>
          <t>—</t>
        </is>
      </c>
      <c r="J25" s="11" t="inlineStr">
        <is>
          <t>⬜ 未开始</t>
        </is>
      </c>
      <c r="K25" s="11" t="inlineStr">
        <is>
          <t>距开始 ≥12 小时可提交，状态 `ADJUSTING`；&lt;12 小时返回 `403 ADJUST_WINDOW_CLOSED`。；审批期间原预约与资源保持有效，不被释放。；同一预约同时只允许 1 条待审批调整单，重复提交返回 `409`。</t>
        </is>
      </c>
    </row>
    <row r="26" ht="58" customHeight="1">
      <c r="A26" s="11" t="inlineStr">
        <is>
          <t>REQ-BOOK-11</t>
        </is>
      </c>
      <c r="B26" s="11" t="inlineStr">
        <is>
          <t>BOOK</t>
        </is>
      </c>
      <c r="C26" s="11" t="inlineStr">
        <is>
          <t>调整审批与生效</t>
        </is>
      </c>
      <c r="D26" s="11" t="inlineStr">
        <is>
          <t>P0</t>
        </is>
      </c>
      <c r="E26" s="11" t="inlineStr">
        <is>
          <t>S3</t>
        </is>
      </c>
      <c r="F26" s="11" t="inlineStr">
        <is>
          <t>—</t>
        </is>
      </c>
      <c r="G26" s="11" t="inlineStr">
        <is>
          <t>—</t>
        </is>
      </c>
      <c r="H26" s="11" t="inlineStr">
        <is>
          <t>—</t>
        </is>
      </c>
      <c r="I26" s="11" t="inlineStr">
        <is>
          <t>—</t>
        </is>
      </c>
      <c r="J26" s="11" t="inlineStr">
        <is>
          <t>⬜ 未开始</t>
        </is>
      </c>
      <c r="K26" s="11" t="inlineStr">
        <is>
          <t>通过后原占用释放、新占用生成，状态回到 `APPROVED`，新时段写入预约主表。；新时段冲突返回 `409`，调整单保持待审批，原预约不受影响。；驳回必须填原因，状态回 `APPROVED`（原时段），通知含原因。</t>
        </is>
      </c>
    </row>
    <row r="27" ht="58" customHeight="1">
      <c r="A27" s="11" t="inlineStr">
        <is>
          <t>REQ-BOOK-12</t>
        </is>
      </c>
      <c r="B27" s="11" t="inlineStr">
        <is>
          <t>BOOK</t>
        </is>
      </c>
      <c r="C27" s="11" t="inlineStr">
        <is>
          <t>取消预约</t>
        </is>
      </c>
      <c r="D27" s="11" t="inlineStr">
        <is>
          <t>P0</t>
        </is>
      </c>
      <c r="E27" s="11" t="inlineStr">
        <is>
          <t>S3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inlineStr">
        <is>
          <t>⬜ 未开始</t>
        </is>
      </c>
      <c r="K27" s="11" t="inlineStr">
        <is>
          <t>取消后状态 `CANCELLED`，资源占用 ≤5 秒释放，队列首位收到候补通知。；已开始（当前时间 ≥ 开始时间）或已完成的预约不可取消，返回 `409`。；管理员强制取消需二次验证 + 原因，通知农户并留痕。</t>
        </is>
      </c>
    </row>
    <row r="28" ht="58" customHeight="1">
      <c r="A28" s="11" t="inlineStr">
        <is>
          <t>REQ-BOOK-13</t>
        </is>
      </c>
      <c r="B28" s="11" t="inlineStr">
        <is>
          <t>BOOK</t>
        </is>
      </c>
      <c r="C28" s="11" t="inlineStr">
        <is>
          <t>预约状态机拦截</t>
        </is>
      </c>
      <c r="D28" s="11" t="inlineStr">
        <is>
          <t>P0</t>
        </is>
      </c>
      <c r="E28" s="11" t="inlineStr">
        <is>
          <t>S2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—</t>
        </is>
      </c>
      <c r="I28" s="11" t="inlineStr">
        <is>
          <t>—</t>
        </is>
      </c>
      <c r="J28" s="11" t="inlineStr">
        <is>
          <t>⬜ 未开始</t>
        </is>
      </c>
      <c r="K28" s="11" t="inlineStr">
        <is>
          <t>允许的流转见 R1-02 §4.1；任何未定义流转返回 `409 INVALID_STATE`。；每次状态变更写入 `booking_status_history`（from/to/操作人/原因/时间）。；并发两次"通过"仅 1 次成功（乐观锁 version）。</t>
        </is>
      </c>
    </row>
    <row r="29" ht="58" customHeight="1">
      <c r="A29" s="11" t="inlineStr">
        <is>
          <t>REQ-BOOK-14</t>
        </is>
      </c>
      <c r="B29" s="11" t="inlineStr">
        <is>
          <t>BOOK</t>
        </is>
      </c>
      <c r="C29" s="11" t="inlineStr">
        <is>
          <t>我的预约查询</t>
        </is>
      </c>
      <c r="D29" s="11" t="inlineStr">
        <is>
          <t>P1</t>
        </is>
      </c>
      <c r="E29" s="11" t="inlineStr">
        <is>
          <t>S2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1" t="inlineStr">
        <is>
          <t>—</t>
        </is>
      </c>
      <c r="J29" s="11" t="inlineStr">
        <is>
          <t>⬜ 未开始</t>
        </is>
      </c>
      <c r="K29" s="11" t="inlineStr">
        <is>
          <t>仅返回本人数据；篡改 `farmerId` 无法越权（返回 403 或空）。；可按状态、时间范围筛选，按开始时间倒序。；列表展示状态标签、审核意见、推荐时间（驳回时）。</t>
        </is>
      </c>
    </row>
    <row r="30" ht="58" customHeight="1">
      <c r="A30" s="11" t="inlineStr">
        <is>
          <t>REQ-QUEUE-01</t>
        </is>
      </c>
      <c r="B30" s="11" t="inlineStr">
        <is>
          <t>QUEUE</t>
        </is>
      </c>
      <c r="C30" s="11" t="inlineStr">
        <is>
          <t>冲突转排队</t>
        </is>
      </c>
      <c r="D30" s="11" t="inlineStr">
        <is>
          <t>P0</t>
        </is>
      </c>
      <c r="E30" s="11" t="inlineStr">
        <is>
          <t>S3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inlineStr">
        <is>
          <t>⬜ 未开始</t>
        </is>
      </c>
      <c r="K30" s="11" t="inlineStr">
        <is>
          <t>冲突响应携带 `queueAvailable=true`、冲突资源、当前队尾预计顺位。；用户未确认前不产生排队记录；确认后返回排队号与顺位。；资源其实可用时不展示排队入口（避免误导）。</t>
        </is>
      </c>
    </row>
    <row r="31" ht="58" customHeight="1">
      <c r="A31" s="11" t="inlineStr">
        <is>
          <t>REQ-QUEUE-02</t>
        </is>
      </c>
      <c r="B31" s="11" t="inlineStr">
        <is>
          <t>QUEUE</t>
        </is>
      </c>
      <c r="C31" s="11" t="inlineStr">
        <is>
          <t>排队号生成</t>
        </is>
      </c>
      <c r="D31" s="11" t="inlineStr">
        <is>
          <t>P0</t>
        </is>
      </c>
      <c r="E31" s="11" t="inlineStr">
        <is>
          <t>S3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1" t="inlineStr">
        <is>
          <t>⬜ 未开始</t>
        </is>
      </c>
      <c r="K31" s="11" t="inlineStr">
        <is>
          <t>首个排队号为 `Q-NF2025001-20261020-001`，同日同维度第二个为 `-002`。；排队号全系统唯一；取消后序号不复用、不回填。；50 并发加入同一队列，序号连续 001–050 无重复无跳号。</t>
        </is>
      </c>
    </row>
    <row r="32" ht="58" customHeight="1">
      <c r="A32" s="11" t="inlineStr">
        <is>
          <t>REQ-QUEUE-03</t>
        </is>
      </c>
      <c r="B32" s="11" t="inlineStr">
        <is>
          <t>QUEUE</t>
        </is>
      </c>
      <c r="C32" s="11" t="inlineStr">
        <is>
          <t>队列 FIFO 与顺位计算</t>
        </is>
      </c>
      <c r="D32" s="11" t="inlineStr">
        <is>
          <t>P0</t>
        </is>
      </c>
      <c r="E32" s="11" t="inlineStr">
        <is>
          <t>S3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1" t="inlineStr">
        <is>
          <t>⬜ 未开始</t>
        </is>
      </c>
      <c r="K32" s="11" t="inlineStr">
        <is>
          <t>排序键为 `created_at ASC, id ASC`，相同毫秒按 id 决胜。；前序取消后 5 秒内，后序顺位 -1 且总人数 -1。；顺位值恒满足 `1 ≤ position ≤ total`，不存在 0 或空洞。</t>
        </is>
      </c>
    </row>
    <row r="33" ht="58" customHeight="1">
      <c r="A33" s="11" t="inlineStr">
        <is>
          <t>REQ-QUEUE-04</t>
        </is>
      </c>
      <c r="B33" s="11" t="inlineStr">
        <is>
          <t>QUEUE</t>
        </is>
      </c>
      <c r="C33" s="11" t="inlineStr">
        <is>
          <t>排队信息展示</t>
        </is>
      </c>
      <c r="D33" s="11" t="inlineStr">
        <is>
          <t>P0</t>
        </is>
      </c>
      <c r="E33" s="11" t="inlineStr">
        <is>
          <t>S3</t>
        </is>
      </c>
      <c r="F33" s="11" t="inlineStr">
        <is>
          <t>—</t>
        </is>
      </c>
      <c r="G33" s="11" t="inlineStr">
        <is>
          <t>—</t>
        </is>
      </c>
      <c r="H33" s="11" t="inlineStr">
        <is>
          <t>—</t>
        </is>
      </c>
      <c r="I33" s="11" t="inlineStr">
        <is>
          <t>—</t>
        </is>
      </c>
      <c r="J33" s="11" t="inlineStr">
        <is>
          <t>⬜ 未开始</t>
        </is>
      </c>
      <c r="K33" s="11" t="inlineStr">
        <is>
          <t>文案为"您当前排在第 N 位，预计等待 N-1 场直播"；N=1 时显示"即将轮到您"。；顺位变化 ≤5 秒可见（轮询 5 秒或 SSE 推送）。；排队已失效/转候补时，展示对应状态而非旧顺位。</t>
        </is>
      </c>
    </row>
    <row r="34" ht="58" customHeight="1">
      <c r="A34" s="11" t="inlineStr">
        <is>
          <t>REQ-QUEUE-05</t>
        </is>
      </c>
      <c r="B34" s="11" t="inlineStr">
        <is>
          <t>QUEUE</t>
        </is>
      </c>
      <c r="C34" s="11" t="inlineStr">
        <is>
          <t>个人排队查询</t>
        </is>
      </c>
      <c r="D34" s="11" t="inlineStr">
        <is>
          <t>P1</t>
        </is>
      </c>
      <c r="E34" s="11" t="inlineStr">
        <is>
          <t>S3</t>
        </is>
      </c>
      <c r="F34" s="11" t="inlineStr">
        <is>
          <t>—</t>
        </is>
      </c>
      <c r="G34" s="11" t="inlineStr">
        <is>
          <t>—</t>
        </is>
      </c>
      <c r="H34" s="11" t="inlineStr">
        <is>
          <t>—</t>
        </is>
      </c>
      <c r="I34" s="11" t="inlineStr">
        <is>
          <t>—</t>
        </is>
      </c>
      <c r="J34" s="11" t="inlineStr">
        <is>
          <t>⬜ 未开始</t>
        </is>
      </c>
      <c r="K34" s="11" t="inlineStr">
        <is>
          <t>仅返回本人排队；支持按日期与设备编号筛选。；返回排队号、顺位、状态、创建时间、失效时间。</t>
        </is>
      </c>
    </row>
    <row r="35" ht="58" customHeight="1">
      <c r="A35" s="11" t="inlineStr">
        <is>
          <t>REQ-QUEUE-06</t>
        </is>
      </c>
      <c r="B35" s="11" t="inlineStr">
        <is>
          <t>QUEUE</t>
        </is>
      </c>
      <c r="C35" s="11" t="inlineStr">
        <is>
          <t>顺位变化通知</t>
        </is>
      </c>
      <c r="D35" s="11" t="inlineStr">
        <is>
          <t>P0</t>
        </is>
      </c>
      <c r="E35" s="11" t="inlineStr">
        <is>
          <t>S3</t>
        </is>
      </c>
      <c r="F35" s="11" t="inlineStr">
        <is>
          <t>—</t>
        </is>
      </c>
      <c r="G35" s="11" t="inlineStr">
        <is>
          <t>—</t>
        </is>
      </c>
      <c r="H35" s="11" t="inlineStr">
        <is>
          <t>—</t>
        </is>
      </c>
      <c r="I35" s="11" t="inlineStr">
        <is>
          <t>—</t>
        </is>
      </c>
      <c r="J35" s="11" t="inlineStr">
        <is>
          <t>⬜ 未开始</t>
        </is>
      </c>
      <c r="K35" s="11" t="inlineStr">
        <is>
          <t>每次位次变化生成 1 条通知，含旧位次→新位次与当前顺位。；同一次变化不重复发送（事件幂等键 `queueId + position`）。；通知发送失败不阻塞顺位更新。</t>
        </is>
      </c>
    </row>
    <row r="36" ht="58" customHeight="1">
      <c r="A36" s="11" t="inlineStr">
        <is>
          <t>REQ-QUEUE-07</t>
        </is>
      </c>
      <c r="B36" s="11" t="inlineStr">
        <is>
          <t>QUEUE</t>
        </is>
      </c>
      <c r="C36" s="11" t="inlineStr">
        <is>
          <t>候补触发</t>
        </is>
      </c>
      <c r="D36" s="11" t="inlineStr">
        <is>
          <t>P0</t>
        </is>
      </c>
      <c r="E36" s="11" t="inlineStr">
        <is>
          <t>S3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—</t>
        </is>
      </c>
      <c r="I36" s="11" t="inlineStr">
        <is>
          <t>—</t>
        </is>
      </c>
      <c r="J36" s="11" t="inlineStr">
        <is>
          <t>⬜ 未开始</t>
        </is>
      </c>
      <c r="K36" s="11" t="inlineStr">
        <is>
          <t>资源释放 ≤5 秒，首位状态 `CANDIDATE`，生成 `candidate_offer` 与通知。；若首位在冷却期或资质失效，自动跳过并顺延下一位，记录跳过原因。；同一资源同一时段同一时刻只有 1 个有效候补 offer。</t>
        </is>
      </c>
    </row>
    <row r="37" ht="58" customHeight="1">
      <c r="A37" s="11" t="inlineStr">
        <is>
          <t>REQ-QUEUE-08</t>
        </is>
      </c>
      <c r="B37" s="11" t="inlineStr">
        <is>
          <t>QUEUE</t>
        </is>
      </c>
      <c r="C37" s="11" t="inlineStr">
        <is>
          <t>候补确认/放弃</t>
        </is>
      </c>
      <c r="D37" s="11" t="inlineStr">
        <is>
          <t>P0</t>
        </is>
      </c>
      <c r="E37" s="11" t="inlineStr">
        <is>
          <t>S3</t>
        </is>
      </c>
      <c r="F37" s="11" t="inlineStr">
        <is>
          <t>—</t>
        </is>
      </c>
      <c r="G37" s="11" t="inlineStr">
        <is>
          <t>—</t>
        </is>
      </c>
      <c r="H37" s="11" t="inlineStr">
        <is>
          <t>—</t>
        </is>
      </c>
      <c r="I37" s="11" t="inlineStr">
        <is>
          <t>—</t>
        </is>
      </c>
      <c r="J37" s="11" t="inlineStr">
        <is>
          <t>⬜ 未开始</t>
        </is>
      </c>
      <c r="K37" s="11" t="inlineStr">
        <is>
          <t>确认后生成 `APPROVED` 预约并锁定资源，排队状态 `CONFIRMED`，通知双方。；放弃需选原因（可选填备注），状态 `ABANDONED`，立即顺延下一位。；记录含选择结果、操作时间、IP；重复确认返回 `409`。</t>
        </is>
      </c>
    </row>
    <row r="38" ht="58" customHeight="1">
      <c r="A38" s="11" t="inlineStr">
        <is>
          <t>REQ-QUEUE-09</t>
        </is>
      </c>
      <c r="B38" s="11" t="inlineStr">
        <is>
          <t>QUEUE</t>
        </is>
      </c>
      <c r="C38" s="11" t="inlineStr">
        <is>
          <t>候补时限规则</t>
        </is>
      </c>
      <c r="D38" s="11" t="inlineStr">
        <is>
          <t>P0</t>
        </is>
      </c>
      <c r="E38" s="11" t="inlineStr">
        <is>
          <t>S3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—</t>
        </is>
      </c>
      <c r="I38" s="11" t="inlineStr">
        <is>
          <t>—</t>
        </is>
      </c>
      <c r="J38" s="11" t="inlineStr">
        <is>
          <t>⬜ 未开始</t>
        </is>
      </c>
      <c r="K38" s="11" t="inlineStr">
        <is>
          <t>通知中展示准确截止时间（精确到分钟）。；到期未响应自动置 `EXPIRED` 并顺延，同时通知本人。；剩余 &lt;30 分钟时跳过候补直接顺延，记录 `SKIP_TOO_LATE`。</t>
        </is>
      </c>
    </row>
    <row r="39" ht="58" customHeight="1">
      <c r="A39" s="11" t="inlineStr">
        <is>
          <t>REQ-QUEUE-10</t>
        </is>
      </c>
      <c r="B39" s="11" t="inlineStr">
        <is>
          <t>QUEUE</t>
        </is>
      </c>
      <c r="C39" s="11" t="inlineStr">
        <is>
          <t>重复排队限制</t>
        </is>
      </c>
      <c r="D39" s="11" t="inlineStr">
        <is>
          <t>P0</t>
        </is>
      </c>
      <c r="E39" s="11" t="inlineStr">
        <is>
          <t>S3</t>
        </is>
      </c>
      <c r="F39" s="11" t="inlineStr">
        <is>
          <t>—</t>
        </is>
      </c>
      <c r="G39" s="11" t="inlineStr">
        <is>
          <t>—</t>
        </is>
      </c>
      <c r="H39" s="11" t="inlineStr">
        <is>
          <t>—</t>
        </is>
      </c>
      <c r="I39" s="11" t="inlineStr">
        <is>
          <t>—</t>
        </is>
      </c>
      <c r="J39" s="11" t="inlineStr">
        <is>
          <t>⬜ 未开始</t>
        </is>
      </c>
      <c r="K39" s="11" t="inlineStr">
        <is>
          <t>重复加入返回 `409 ALREADY_QUEUED`，并返回已有排队号与顺位。；已确认/已失效/已放弃后可再次加入（冷却期规则另算）。</t>
        </is>
      </c>
    </row>
    <row r="40" ht="58" customHeight="1">
      <c r="A40" s="11" t="inlineStr">
        <is>
          <t>REQ-QUEUE-11</t>
        </is>
      </c>
      <c r="B40" s="11" t="inlineStr">
        <is>
          <t>QUEUE</t>
        </is>
      </c>
      <c r="C40" s="11" t="inlineStr">
        <is>
          <t>候补取消冷却期</t>
        </is>
      </c>
      <c r="D40" s="11" t="inlineStr">
        <is>
          <t>P0</t>
        </is>
      </c>
      <c r="E40" s="11" t="inlineStr">
        <is>
          <t>S3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—</t>
        </is>
      </c>
      <c r="I40" s="11" t="inlineStr">
        <is>
          <t>—</t>
        </is>
      </c>
      <c r="J40" s="11" t="inlineStr">
        <is>
          <t>⬜ 未开始</t>
        </is>
      </c>
      <c r="K40" s="11" t="inlineStr">
        <is>
          <t>取消时刻起 72 小时内，对该设备发起排队返回 `403 COOLING_DOWN`，附解禁时间。；对其他设备排队不受影响；冷却记录可被管理员查询。；冷却期按自然时间计算（非工作日），配置项 `queue.cooldown.hours=72`。</t>
        </is>
      </c>
    </row>
    <row r="41" ht="58" customHeight="1">
      <c r="A41" s="11" t="inlineStr">
        <is>
          <t>REQ-QUEUE-12</t>
        </is>
      </c>
      <c r="B41" s="11" t="inlineStr">
        <is>
          <t>QUEUE</t>
        </is>
      </c>
      <c r="C41" s="11" t="inlineStr">
        <is>
          <t>排队并发一致性</t>
        </is>
      </c>
      <c r="D41" s="11" t="inlineStr">
        <is>
          <t>P0</t>
        </is>
      </c>
      <c r="E41" s="11" t="inlineStr">
        <is>
          <t>S3</t>
        </is>
      </c>
      <c r="F41" s="11" t="inlineStr">
        <is>
          <t>—</t>
        </is>
      </c>
      <c r="G41" s="11" t="inlineStr">
        <is>
          <t>—</t>
        </is>
      </c>
      <c r="H41" s="11" t="inlineStr">
        <is>
          <t>—</t>
        </is>
      </c>
      <c r="I41" s="11" t="inlineStr">
        <is>
          <t>—</t>
        </is>
      </c>
      <c r="J41" s="11" t="inlineStr">
        <is>
          <t>⬜ 未开始</t>
        </is>
      </c>
      <c r="K41" s="11" t="inlineStr">
        <is>
          <t>50 并发加入无重号、无重复顺位、无丢失。；资源释放与候补确认并发时，仅 1 人获得资源，其余收到"已被占用"。；压测后对账：排队总数 = 各状态数量之和，误差 0。</t>
        </is>
      </c>
    </row>
    <row r="42" ht="58" customHeight="1">
      <c r="A42" s="11" t="inlineStr">
        <is>
          <t>REQ-QUEUE-13</t>
        </is>
      </c>
      <c r="B42" s="11" t="inlineStr">
        <is>
          <t>QUEUE</t>
        </is>
      </c>
      <c r="C42" s="11" t="inlineStr">
        <is>
          <t>排队失效清理</t>
        </is>
      </c>
      <c r="D42" s="11" t="inlineStr">
        <is>
          <t>P1</t>
        </is>
      </c>
      <c r="E42" s="11" t="inlineStr">
        <is>
          <t>S4</t>
        </is>
      </c>
      <c r="F42" s="11" t="inlineStr">
        <is>
          <t>—</t>
        </is>
      </c>
      <c r="G42" s="11" t="inlineStr">
        <is>
          <t>—</t>
        </is>
      </c>
      <c r="H42" s="11" t="inlineStr">
        <is>
          <t>—</t>
        </is>
      </c>
      <c r="I42" s="11" t="inlineStr">
        <is>
          <t>—</t>
        </is>
      </c>
      <c r="J42" s="11" t="inlineStr">
        <is>
          <t>⬜ 未开始</t>
        </is>
      </c>
      <c r="K42" s="11" t="inlineStr">
        <is>
          <t>开始时间到达后 10 分钟内，未转正的排队置 `CLOSED`。；清理任务可重跑，重复执行不产生副作用（幂等）。；手动关闭必须填原因，通知排队农户。</t>
        </is>
      </c>
    </row>
    <row r="43" ht="58" customHeight="1">
      <c r="A43" s="11" t="inlineStr">
        <is>
          <t>REQ-NOTI-01</t>
        </is>
      </c>
      <c r="B43" s="11" t="inlineStr">
        <is>
          <t>NOTI</t>
        </is>
      </c>
      <c r="C43" s="11" t="inlineStr">
        <is>
          <t>事件通知模板</t>
        </is>
      </c>
      <c r="D43" s="11" t="inlineStr">
        <is>
          <t>P0</t>
        </is>
      </c>
      <c r="E43" s="11" t="inlineStr">
        <is>
          <t>S2</t>
        </is>
      </c>
      <c r="F43" s="11" t="inlineStr">
        <is>
          <t>—</t>
        </is>
      </c>
      <c r="G43" s="11" t="inlineStr">
        <is>
          <t>—</t>
        </is>
      </c>
      <c r="H43" s="11" t="inlineStr">
        <is>
          <t>—</t>
        </is>
      </c>
      <c r="I43" s="11" t="inlineStr">
        <is>
          <t>—</t>
        </is>
      </c>
      <c r="J43" s="11" t="inlineStr">
        <is>
          <t>⬜ 未开始</t>
        </is>
      </c>
      <c r="K43" s="11" t="inlineStr">
        <is>
          <t>5 类事件均能触发对应模板，模板变量全部替换后无 `${}` 残留。；变量缺失时发送失败并记录 `TEMPLATE_VAR_MISSING`，不发送半成品文案。；模板支持启用/停用，停用后事件不再产生该渠道通知。</t>
        </is>
      </c>
    </row>
    <row r="44" ht="58" customHeight="1">
      <c r="A44" s="11" t="inlineStr">
        <is>
          <t>REQ-NOTI-02</t>
        </is>
      </c>
      <c r="B44" s="11" t="inlineStr">
        <is>
          <t>NOTI</t>
        </is>
      </c>
      <c r="C44" s="11" t="inlineStr">
        <is>
          <t>通知渠道适配</t>
        </is>
      </c>
      <c r="D44" s="11" t="inlineStr">
        <is>
          <t>P0</t>
        </is>
      </c>
      <c r="E44" s="11" t="inlineStr">
        <is>
          <t>S2</t>
        </is>
      </c>
      <c r="F44" s="11" t="inlineStr">
        <is>
          <t>—</t>
        </is>
      </c>
      <c r="G44" s="11" t="inlineStr">
        <is>
          <t>—</t>
        </is>
      </c>
      <c r="H44" s="11" t="inlineStr">
        <is>
          <t>—</t>
        </is>
      </c>
      <c r="I44" s="11" t="inlineStr">
        <is>
          <t>—</t>
        </is>
      </c>
      <c r="J44" s="11" t="inlineStr">
        <is>
          <t>⬜ 未开始</t>
        </is>
      </c>
      <c r="K44" s="11" t="inlineStr">
        <is>
          <t>故障预警默认"短信 + 站内"；其余默认站内，可在配置中追加短信。；用户可关闭营销类短信，但审核结果、候补提醒等关键通知不可关闭。；同一事件同渠道只发送 1 次（幂等键 `eventId + userId + channel`）。</t>
        </is>
      </c>
    </row>
    <row r="45" ht="58" customHeight="1">
      <c r="A45" s="11" t="inlineStr">
        <is>
          <t>REQ-NOTI-03</t>
        </is>
      </c>
      <c r="B45" s="11" t="inlineStr">
        <is>
          <t>NOTI</t>
        </is>
      </c>
      <c r="C45" s="11" t="inlineStr">
        <is>
          <t>发送状态记录</t>
        </is>
      </c>
      <c r="D45" s="11" t="inlineStr">
        <is>
          <t>P0</t>
        </is>
      </c>
      <c r="E45" s="11" t="inlineStr">
        <is>
          <t>S2</t>
        </is>
      </c>
      <c r="F45" s="11" t="inlineStr">
        <is>
          <t>—</t>
        </is>
      </c>
      <c r="G45" s="11" t="inlineStr">
        <is>
          <t>—</t>
        </is>
      </c>
      <c r="H45" s="11" t="inlineStr">
        <is>
          <t>—</t>
        </is>
      </c>
      <c r="I45" s="11" t="inlineStr">
        <is>
          <t>—</t>
        </is>
      </c>
      <c r="J45" s="11" t="inlineStr">
        <is>
          <t>⬜ 未开始</t>
        </is>
      </c>
      <c r="K45" s="11" t="inlineStr">
        <is>
          <t>每次发送生成 1 条 `notification` 记录，状态可取 `PENDING/SENT/FAILED/DEAD`。；管理员可按状态、渠道、时间查询；单条详情含重试次数。；成功记录含供应商返回的 `msgId`，可用于对账。</t>
        </is>
      </c>
    </row>
    <row r="46" ht="58" customHeight="1">
      <c r="A46" s="11" t="inlineStr">
        <is>
          <t>REQ-NOTI-04</t>
        </is>
      </c>
      <c r="B46" s="11" t="inlineStr">
        <is>
          <t>NOTI</t>
        </is>
      </c>
      <c r="C46" s="11" t="inlineStr">
        <is>
          <t>失败自动重试</t>
        </is>
      </c>
      <c r="D46" s="11" t="inlineStr">
        <is>
          <t>P0</t>
        </is>
      </c>
      <c r="E46" s="11" t="inlineStr">
        <is>
          <t>S2</t>
        </is>
      </c>
      <c r="F46" s="11" t="inlineStr">
        <is>
          <t>—</t>
        </is>
      </c>
      <c r="G46" s="11" t="inlineStr">
        <is>
          <t>—</t>
        </is>
      </c>
      <c r="H46" s="11" t="inlineStr">
        <is>
          <t>—</t>
        </is>
      </c>
      <c r="I46" s="11" t="inlineStr">
        <is>
          <t>—</t>
        </is>
      </c>
      <c r="J46" s="11" t="inlineStr">
        <is>
          <t>⬜ 未开始</t>
        </is>
      </c>
      <c r="K46" s="11" t="inlineStr">
        <is>
          <t>重试间隔与次数符合配置，最多 3 次；成功后停止。；3 次失败置 `DEAD`，生成站内兜底通知并向管理员告警。；重试不产生重复短信（同幂等键）。</t>
        </is>
      </c>
    </row>
    <row r="47" ht="58" customHeight="1">
      <c r="A47" s="11" t="inlineStr">
        <is>
          <t>REQ-NOTI-05</t>
        </is>
      </c>
      <c r="B47" s="11" t="inlineStr">
        <is>
          <t>NOTI</t>
        </is>
      </c>
      <c r="C47" s="11" t="inlineStr">
        <is>
          <t>通知中心</t>
        </is>
      </c>
      <c r="D47" s="11" t="inlineStr">
        <is>
          <t>P1</t>
        </is>
      </c>
      <c r="E47" s="11" t="inlineStr">
        <is>
          <t>S2</t>
        </is>
      </c>
      <c r="F47" s="11" t="inlineStr">
        <is>
          <t>—</t>
        </is>
      </c>
      <c r="G47" s="11" t="inlineStr">
        <is>
          <t>—</t>
        </is>
      </c>
      <c r="H47" s="11" t="inlineStr">
        <is>
          <t>—</t>
        </is>
      </c>
      <c r="I47" s="11" t="inlineStr">
        <is>
          <t>—</t>
        </is>
      </c>
      <c r="J47" s="11" t="inlineStr">
        <is>
          <t>⬜ 未开始</t>
        </is>
      </c>
      <c r="K47" s="11" t="inlineStr">
        <is>
          <t>未读数准确；标记已读后 1 秒内更新。；仅本人可操作；操作他人通知返回 `403`。；通知保留 180 天，超期归档不参与未读统计。</t>
        </is>
      </c>
    </row>
    <row r="48" ht="58" customHeight="1">
      <c r="A48" s="11" t="inlineStr">
        <is>
          <t>REQ-NOTI-06</t>
        </is>
      </c>
      <c r="B48" s="11" t="inlineStr">
        <is>
          <t>NOTI</t>
        </is>
      </c>
      <c r="C48" s="11" t="inlineStr">
        <is>
          <t>开播前 1 小时提醒</t>
        </is>
      </c>
      <c r="D48" s="11" t="inlineStr">
        <is>
          <t>P0</t>
        </is>
      </c>
      <c r="E48" s="11" t="inlineStr">
        <is>
          <t>S3</t>
        </is>
      </c>
      <c r="F48" s="11" t="inlineStr">
        <is>
          <t>—</t>
        </is>
      </c>
      <c r="G48" s="11" t="inlineStr">
        <is>
          <t>—</t>
        </is>
      </c>
      <c r="H48" s="11" t="inlineStr">
        <is>
          <t>—</t>
        </is>
      </c>
      <c r="I48" s="11" t="inlineStr">
        <is>
          <t>—</t>
        </is>
      </c>
      <c r="J48" s="11" t="inlineStr">
        <is>
          <t>⬜ 未开始</t>
        </is>
      </c>
      <c r="K48" s="11" t="inlineStr">
        <is>
          <t>在 `T-60min ±5min` 内发送 1 次，含主题、时间、场地。；预约取消/改期后不发送旧提醒；改期后按新时间重新计算。；任务幂等，重复扫描不重复发送。</t>
        </is>
      </c>
    </row>
    <row r="49" ht="58" customHeight="1">
      <c r="A49" s="11" t="inlineStr">
        <is>
          <t>REQ-NOTI-07</t>
        </is>
      </c>
      <c r="B49" s="11" t="inlineStr">
        <is>
          <t>NOTI</t>
        </is>
      </c>
      <c r="C49" s="11" t="inlineStr">
        <is>
          <t>短信模板报备与签名</t>
        </is>
      </c>
      <c r="D49" s="11" t="inlineStr">
        <is>
          <t>P2</t>
        </is>
      </c>
      <c r="E49" s="11" t="inlineStr">
        <is>
          <t>S5</t>
        </is>
      </c>
      <c r="F49" s="11" t="inlineStr">
        <is>
          <t>—</t>
        </is>
      </c>
      <c r="G49" s="11" t="inlineStr">
        <is>
          <t>—</t>
        </is>
      </c>
      <c r="H49" s="11" t="inlineStr">
        <is>
          <t>—</t>
        </is>
      </c>
      <c r="I49" s="11" t="inlineStr">
        <is>
          <t>—</t>
        </is>
      </c>
      <c r="J49" s="11" t="inlineStr">
        <is>
          <t>⬜ 未开始</t>
        </is>
      </c>
      <c r="K49" s="11" t="inlineStr">
        <is>
          <t>未报备模板调用返回失败并告警，不降级为"裸发"。；模板变量数量/顺序与报备一致；不一致在配置保存时即校验失败。</t>
        </is>
      </c>
    </row>
    <row r="50" ht="58" customHeight="1">
      <c r="A50" s="11" t="inlineStr">
        <is>
          <t>REQ-STAT-01</t>
        </is>
      </c>
      <c r="B50" s="11" t="inlineStr">
        <is>
          <t>STAT</t>
        </is>
      </c>
      <c r="C50" s="11" t="inlineStr">
        <is>
          <t>核心指标口径</t>
        </is>
      </c>
      <c r="D50" s="11" t="inlineStr">
        <is>
          <t>P0</t>
        </is>
      </c>
      <c r="E50" s="11" t="inlineStr">
        <is>
          <t>S4</t>
        </is>
      </c>
      <c r="F50" s="11" t="inlineStr">
        <is>
          <t>—</t>
        </is>
      </c>
      <c r="G50" s="11" t="inlineStr">
        <is>
          <t>—</t>
        </is>
      </c>
      <c r="H50" s="11" t="inlineStr">
        <is>
          <t>—</t>
        </is>
      </c>
      <c r="I50" s="11" t="inlineStr">
        <is>
          <t>—</t>
        </is>
      </c>
      <c r="J50" s="11" t="inlineStr">
        <is>
          <t>⬜ 未开始</t>
        </is>
      </c>
      <c r="K50" s="11" t="inlineStr">
        <is>
          <t>四个指标按 R1-02 §6 公式计算；抽取 10 条样本手工复算，误差 0。；分母为 0 时返回 0 并标注"无数据"，不出现 NaN/Infinity。；指标卡展示统计口径 tooltip。</t>
        </is>
      </c>
    </row>
    <row r="51" ht="58" customHeight="1">
      <c r="A51" s="11" t="inlineStr">
        <is>
          <t>REQ-STAT-02</t>
        </is>
      </c>
      <c r="B51" s="11" t="inlineStr">
        <is>
          <t>STAT</t>
        </is>
      </c>
      <c r="C51" s="11" t="inlineStr">
        <is>
          <t>多维筛选</t>
        </is>
      </c>
      <c r="D51" s="11" t="inlineStr">
        <is>
          <t>P0</t>
        </is>
      </c>
      <c r="E51" s="11" t="inlineStr">
        <is>
          <t>S4</t>
        </is>
      </c>
      <c r="F51" s="11" t="inlineStr">
        <is>
          <t>—</t>
        </is>
      </c>
      <c r="G51" s="11" t="inlineStr">
        <is>
          <t>—</t>
        </is>
      </c>
      <c r="H51" s="11" t="inlineStr">
        <is>
          <t>—</t>
        </is>
      </c>
      <c r="I51" s="11" t="inlineStr">
        <is>
          <t>—</t>
        </is>
      </c>
      <c r="J51" s="11" t="inlineStr">
        <is>
          <t>⬜ 未开始</t>
        </is>
      </c>
      <c r="K51" s="11" t="inlineStr">
        <is>
          <t>三个维度可任意组合，结果随筛选变化且与明细汇总一致。；时间支持今日/近 7 天/近 30 天/自定义区间（≤1 年）。；无数据时返回 0 与空图表，不报错。</t>
        </is>
      </c>
    </row>
    <row r="52" ht="58" customHeight="1">
      <c r="A52" s="11" t="inlineStr">
        <is>
          <t>REQ-STAT-03</t>
        </is>
      </c>
      <c r="B52" s="11" t="inlineStr">
        <is>
          <t>STAT</t>
        </is>
      </c>
      <c r="C52" s="11" t="inlineStr">
        <is>
          <t>趋势图</t>
        </is>
      </c>
      <c r="D52" s="11" t="inlineStr">
        <is>
          <t>P1</t>
        </is>
      </c>
      <c r="E52" s="11" t="inlineStr">
        <is>
          <t>S4</t>
        </is>
      </c>
      <c r="F52" s="11" t="inlineStr">
        <is>
          <t>—</t>
        </is>
      </c>
      <c r="G52" s="11" t="inlineStr">
        <is>
          <t>—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⬜ 未开始</t>
        </is>
      </c>
      <c r="K52" s="11" t="inlineStr">
        <is>
          <t>支持按日/周/月聚合，切换后数据与聚合口径一致。；图表渲染 ≤2 秒，空数据展示占位文案。</t>
        </is>
      </c>
    </row>
    <row r="53" ht="58" customHeight="1">
      <c r="A53" s="11" t="inlineStr">
        <is>
          <t>REQ-STAT-04</t>
        </is>
      </c>
      <c r="B53" s="11" t="inlineStr">
        <is>
          <t>STAT</t>
        </is>
      </c>
      <c r="C53" s="11" t="inlineStr">
        <is>
          <t>Excel 导出</t>
        </is>
      </c>
      <c r="D53" s="11" t="inlineStr">
        <is>
          <t>P0</t>
        </is>
      </c>
      <c r="E53" s="11" t="inlineStr">
        <is>
          <t>S4</t>
        </is>
      </c>
      <c r="F53" s="11" t="inlineStr">
        <is>
          <t>—</t>
        </is>
      </c>
      <c r="G53" s="11" t="inlineStr">
        <is>
          <t>—</t>
        </is>
      </c>
      <c r="H53" s="11" t="inlineStr">
        <is>
          <t>—</t>
        </is>
      </c>
      <c r="I53" s="11" t="inlineStr">
        <is>
          <t>—</t>
        </is>
      </c>
      <c r="J53" s="11" t="inlineStr">
        <is>
          <t>⬜ 未开始</t>
        </is>
      </c>
      <c r="K53" s="11" t="inlineStr">
        <is>
          <t>≤5 万行异步生成，任务完成 ≤60 秒，可下载。；文件名含报表类型、筛选条件摘要与时间戳。；导出字段与页面一致；默认脱敏手机号，导出全号需二次验证（仅系统管理员）。</t>
        </is>
      </c>
    </row>
    <row r="54" ht="58" customHeight="1">
      <c r="A54" s="11" t="inlineStr">
        <is>
          <t>REQ-STAT-05</t>
        </is>
      </c>
      <c r="B54" s="11" t="inlineStr">
        <is>
          <t>STAT</t>
        </is>
      </c>
      <c r="C54" s="11" t="inlineStr">
        <is>
          <t>PDF 导出</t>
        </is>
      </c>
      <c r="D54" s="11" t="inlineStr">
        <is>
          <t>P1</t>
        </is>
      </c>
      <c r="E54" s="11" t="inlineStr">
        <is>
          <t>S4</t>
        </is>
      </c>
      <c r="F54" s="11" t="inlineStr">
        <is>
          <t>—</t>
        </is>
      </c>
      <c r="G54" s="11" t="inlineStr">
        <is>
          <t>—</t>
        </is>
      </c>
      <c r="H54" s="11" t="inlineStr">
        <is>
          <t>—</t>
        </is>
      </c>
      <c r="I54" s="11" t="inlineStr">
        <is>
          <t>—</t>
        </is>
      </c>
      <c r="J54" s="11" t="inlineStr">
        <is>
          <t>⬜ 未开始</t>
        </is>
      </c>
      <c r="K54" s="11" t="inlineStr">
        <is>
          <t>中文字体正常，图表清晰，A4 纵向。；生成 ≤30 秒；失败可重试且不产生半成品文件。</t>
        </is>
      </c>
    </row>
    <row r="55" ht="58" customHeight="1">
      <c r="A55" s="11" t="inlineStr">
        <is>
          <t>REQ-STAT-06</t>
        </is>
      </c>
      <c r="B55" s="11" t="inlineStr">
        <is>
          <t>STAT</t>
        </is>
      </c>
      <c r="C55" s="11" t="inlineStr">
        <is>
          <t>农户个人数据</t>
        </is>
      </c>
      <c r="D55" s="11" t="inlineStr">
        <is>
          <t>P1</t>
        </is>
      </c>
      <c r="E55" s="11" t="inlineStr">
        <is>
          <t>S4</t>
        </is>
      </c>
      <c r="F55" s="11" t="inlineStr">
        <is>
          <t>—</t>
        </is>
      </c>
      <c r="G55" s="11" t="inlineStr">
        <is>
          <t>—</t>
        </is>
      </c>
      <c r="H55" s="11" t="inlineStr">
        <is>
          <t>—</t>
        </is>
      </c>
      <c r="I55" s="11" t="inlineStr">
        <is>
          <t>—</t>
        </is>
      </c>
      <c r="J55" s="11" t="inlineStr">
        <is>
          <t>⬜ 未开始</t>
        </is>
      </c>
      <c r="K55" s="11" t="inlineStr">
        <is>
          <t>仅本人数据；改 `farmerId` 越权返回 `403`。；与管理员同口径查询结果一致（同一农户同一区间）。</t>
        </is>
      </c>
    </row>
    <row r="56" ht="58" customHeight="1">
      <c r="A56" s="11" t="inlineStr">
        <is>
          <t>REQ-STAT-07</t>
        </is>
      </c>
      <c r="B56" s="11" t="inlineStr">
        <is>
          <t>STAT</t>
        </is>
      </c>
      <c r="C56" s="11" t="inlineStr">
        <is>
          <t>统计对账与重算</t>
        </is>
      </c>
      <c r="D56" s="11" t="inlineStr">
        <is>
          <t>P1</t>
        </is>
      </c>
      <c r="E56" s="11" t="inlineStr">
        <is>
          <t>S4</t>
        </is>
      </c>
      <c r="F56" s="11" t="inlineStr">
        <is>
          <t>—</t>
        </is>
      </c>
      <c r="G56" s="11" t="inlineStr">
        <is>
          <t>—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⬜ 未开始</t>
        </is>
      </c>
      <c r="K56" s="11" t="inlineStr">
        <is>
          <t>日报与实时查询差异 ≤1%；超出时产生对账告警。；重算任务幂等，重复执行结果一致；重算记录可查。</t>
        </is>
      </c>
    </row>
    <row r="57" ht="58" customHeight="1">
      <c r="A57" s="11" t="inlineStr">
        <is>
          <t>REQ-AUTH-01</t>
        </is>
      </c>
      <c r="B57" s="11" t="inlineStr">
        <is>
          <t>AUTH</t>
        </is>
      </c>
      <c r="C57" s="11" t="inlineStr">
        <is>
          <t>角色权限模型</t>
        </is>
      </c>
      <c r="D57" s="11" t="inlineStr">
        <is>
          <t>P0</t>
        </is>
      </c>
      <c r="E57" s="11" t="inlineStr">
        <is>
          <t>S1</t>
        </is>
      </c>
      <c r="F57" s="11" t="inlineStr">
        <is>
          <t>—</t>
        </is>
      </c>
      <c r="G57" s="11" t="inlineStr">
        <is>
          <t>—</t>
        </is>
      </c>
      <c r="H57" s="11" t="inlineStr">
        <is>
          <t>—</t>
        </is>
      </c>
      <c r="I57" s="11" t="inlineStr">
        <is>
          <t>—</t>
        </is>
      </c>
      <c r="J57" s="11" t="inlineStr">
        <is>
          <t>⬜ 未开始</t>
        </is>
      </c>
      <c r="K57" s="11" t="inlineStr">
        <is>
          <t>4 个角色的菜单与按钮按矩阵显示，越权入口不可见。；修改角色权限后，相关用户下次请求即生效（≤1 分钟）。；角色不可删除内置 4 角色，只能改权限。</t>
        </is>
      </c>
    </row>
    <row r="58" ht="58" customHeight="1">
      <c r="A58" s="11" t="inlineStr">
        <is>
          <t>REQ-AUTH-02</t>
        </is>
      </c>
      <c r="B58" s="11" t="inlineStr">
        <is>
          <t>AUTH</t>
        </is>
      </c>
      <c r="C58" s="11" t="inlineStr">
        <is>
          <t>登录与会话</t>
        </is>
      </c>
      <c r="D58" s="11" t="inlineStr">
        <is>
          <t>P0</t>
        </is>
      </c>
      <c r="E58" s="11" t="inlineStr">
        <is>
          <t>S1</t>
        </is>
      </c>
      <c r="F58" s="11" t="inlineStr">
        <is>
          <t>—</t>
        </is>
      </c>
      <c r="G58" s="11" t="inlineStr">
        <is>
          <t>—</t>
        </is>
      </c>
      <c r="H58" s="11" t="inlineStr">
        <is>
          <t>—</t>
        </is>
      </c>
      <c r="I58" s="11" t="inlineStr">
        <is>
          <t>—</t>
        </is>
      </c>
      <c r="J58" s="11" t="inlineStr">
        <is>
          <t>⬜ 未开始</t>
        </is>
      </c>
      <c r="K58" s="11" t="inlineStr">
        <is>
          <t>正确凭证返回 `accessToken`（2h）与 `refreshToken`（7d）。；连续 5 次密码错误锁定 15 分钟，提示剩余时间。；登出后 accessToken 立即失效（黑名单）；密码修改后所有会话失效。</t>
        </is>
      </c>
    </row>
    <row r="59" ht="58" customHeight="1">
      <c r="A59" s="11" t="inlineStr">
        <is>
          <t>REQ-AUTH-03</t>
        </is>
      </c>
      <c r="B59" s="11" t="inlineStr">
        <is>
          <t>AUTH</t>
        </is>
      </c>
      <c r="C59" s="11" t="inlineStr">
        <is>
          <t>接口级鉴权</t>
        </is>
      </c>
      <c r="D59" s="11" t="inlineStr">
        <is>
          <t>P0</t>
        </is>
      </c>
      <c r="E59" s="11" t="inlineStr">
        <is>
          <t>S2</t>
        </is>
      </c>
      <c r="F59" s="11" t="inlineStr">
        <is>
          <t>—</t>
        </is>
      </c>
      <c r="G59" s="11" t="inlineStr">
        <is>
          <t>—</t>
        </is>
      </c>
      <c r="H59" s="11" t="inlineStr">
        <is>
          <t>—</t>
        </is>
      </c>
      <c r="I59" s="11" t="inlineStr">
        <is>
          <t>—</t>
        </is>
      </c>
      <c r="J59" s="11" t="inlineStr">
        <is>
          <t>⬜ 未开始</t>
        </is>
      </c>
      <c r="K59" s="11" t="inlineStr">
        <is>
          <t>无 token 访问受保护接口返回 `401`；角色不符返回 `403`。；越权用例集（横向 20 条 + 纵向 15 条）100% 拦截。；错误响应不泄露资源是否存在（统一 403/404 文案）。</t>
        </is>
      </c>
    </row>
    <row r="60" ht="58" customHeight="1">
      <c r="A60" s="11" t="inlineStr">
        <is>
          <t>REQ-AUTH-04</t>
        </is>
      </c>
      <c r="B60" s="11" t="inlineStr">
        <is>
          <t>AUTH</t>
        </is>
      </c>
      <c r="C60" s="11" t="inlineStr">
        <is>
          <t>数据级权限</t>
        </is>
      </c>
      <c r="D60" s="11" t="inlineStr">
        <is>
          <t>P1</t>
        </is>
      </c>
      <c r="E60" s="11" t="inlineStr">
        <is>
          <t>S4</t>
        </is>
      </c>
      <c r="F60" s="11" t="inlineStr">
        <is>
          <t>—</t>
        </is>
      </c>
      <c r="G60" s="11" t="inlineStr">
        <is>
          <t>—</t>
        </is>
      </c>
      <c r="H60" s="11" t="inlineStr">
        <is>
          <t>—</t>
        </is>
      </c>
      <c r="I60" s="11" t="inlineStr">
        <is>
          <t>—</t>
        </is>
      </c>
      <c r="J60" s="11" t="inlineStr">
        <is>
          <t>⬜ 未开始</t>
        </is>
      </c>
      <c r="K60" s="11" t="inlineStr">
        <is>
          <t>农户访问他人预约/排队/统计返回 `403` 或无数据。；管理员跨县域访问返回 `403`（若配置为单县）。；统计员调用任何写接口返回 `403`。</t>
        </is>
      </c>
    </row>
    <row r="61" ht="58" customHeight="1">
      <c r="A61" s="11" t="inlineStr">
        <is>
          <t>REQ-AUTH-05</t>
        </is>
      </c>
      <c r="B61" s="11" t="inlineStr">
        <is>
          <t>AUTH</t>
        </is>
      </c>
      <c r="C61" s="11" t="inlineStr">
        <is>
          <t>操作日志</t>
        </is>
      </c>
      <c r="D61" s="11" t="inlineStr">
        <is>
          <t>P0</t>
        </is>
      </c>
      <c r="E61" s="11" t="inlineStr">
        <is>
          <t>S1</t>
        </is>
      </c>
      <c r="F61" s="11" t="inlineStr">
        <is>
          <t>—</t>
        </is>
      </c>
      <c r="G61" s="11" t="inlineStr">
        <is>
          <t>—</t>
        </is>
      </c>
      <c r="H61" s="11" t="inlineStr">
        <is>
          <t>—</t>
        </is>
      </c>
      <c r="I61" s="11" t="inlineStr">
        <is>
          <t>—</t>
        </is>
      </c>
      <c r="J61" s="11" t="inlineStr">
        <is>
          <t>⬜ 未开始</t>
        </is>
      </c>
      <c r="K61" s="11" t="inlineStr">
        <is>
          <t>登录、增删改、审核、导出、权限变更均生成日志，字段完整率 100%。；敏感操作记录 before/after 值与 traceId。；日志写入失败不阻断主流程，但产生告警（异步落库）。</t>
        </is>
      </c>
    </row>
    <row r="62" ht="58" customHeight="1">
      <c r="A62" s="11" t="inlineStr">
        <is>
          <t>REQ-AUTH-06</t>
        </is>
      </c>
      <c r="B62" s="11" t="inlineStr">
        <is>
          <t>AUTH</t>
        </is>
      </c>
      <c r="C62" s="11" t="inlineStr">
        <is>
          <t>日志查询</t>
        </is>
      </c>
      <c r="D62" s="11" t="inlineStr">
        <is>
          <t>P1</t>
        </is>
      </c>
      <c r="E62" s="11" t="inlineStr">
        <is>
          <t>S4</t>
        </is>
      </c>
      <c r="F62" s="11" t="inlineStr">
        <is>
          <t>—</t>
        </is>
      </c>
      <c r="G62" s="11" t="inlineStr">
        <is>
          <t>—</t>
        </is>
      </c>
      <c r="H62" s="11" t="inlineStr">
        <is>
          <t>—</t>
        </is>
      </c>
      <c r="I62" s="11" t="inlineStr">
        <is>
          <t>—</t>
        </is>
      </c>
      <c r="J62" s="11" t="inlineStr">
        <is>
          <t>⬜ 未开始</t>
        </is>
      </c>
      <c r="K62" s="11" t="inlineStr">
        <is>
          <t>组合查询 ≤2 秒（100 万条数据量）。；仅系统管理员可查；导出需二次验证并记录"导出日志"这一操作。；日志不可编辑/删除（接口层无此能力）。</t>
        </is>
      </c>
    </row>
    <row r="63" ht="58" customHeight="1">
      <c r="A63" s="11" t="inlineStr">
        <is>
          <t>REQ-AUTH-07</t>
        </is>
      </c>
      <c r="B63" s="11" t="inlineStr">
        <is>
          <t>AUTH</t>
        </is>
      </c>
      <c r="C63" s="11" t="inlineStr">
        <is>
          <t>敏感操作二次验证</t>
        </is>
      </c>
      <c r="D63" s="11" t="inlineStr">
        <is>
          <t>P0</t>
        </is>
      </c>
      <c r="E63" s="11" t="inlineStr">
        <is>
          <t>S4</t>
        </is>
      </c>
      <c r="F63" s="11" t="inlineStr">
        <is>
          <t>—</t>
        </is>
      </c>
      <c r="G63" s="11" t="inlineStr">
        <is>
          <t>—</t>
        </is>
      </c>
      <c r="H63" s="11" t="inlineStr">
        <is>
          <t>—</t>
        </is>
      </c>
      <c r="I63" s="11" t="inlineStr">
        <is>
          <t>—</t>
        </is>
      </c>
      <c r="J63" s="11" t="inlineStr">
        <is>
          <t>⬜ 未开始</t>
        </is>
      </c>
      <c r="K63" s="11" t="inlineStr">
        <is>
          <t>未通过二次验证调用上述接口返回 `403 STEP_UP_REQUIRED`。；验证通过后 5 分钟内有效；超时需重新验证。；连续 3 次验证失败锁定 10 分钟并告警。</t>
        </is>
      </c>
    </row>
    <row r="64" ht="58" customHeight="1">
      <c r="A64" s="11" t="inlineStr">
        <is>
          <t>REQ-AUTH-08</t>
        </is>
      </c>
      <c r="B64" s="11" t="inlineStr">
        <is>
          <t>AUTH</t>
        </is>
      </c>
      <c r="C64" s="11" t="inlineStr">
        <is>
          <t>日志完整性</t>
        </is>
      </c>
      <c r="D64" s="11" t="inlineStr">
        <is>
          <t>P1</t>
        </is>
      </c>
      <c r="E64" s="11" t="inlineStr">
        <is>
          <t>S4</t>
        </is>
      </c>
      <c r="F64" s="11" t="inlineStr">
        <is>
          <t>—</t>
        </is>
      </c>
      <c r="G64" s="11" t="inlineStr">
        <is>
          <t>—</t>
        </is>
      </c>
      <c r="H64" s="11" t="inlineStr">
        <is>
          <t>—</t>
        </is>
      </c>
      <c r="I64" s="11" t="inlineStr">
        <is>
          <t>—</t>
        </is>
      </c>
      <c r="J64" s="11" t="inlineStr">
        <is>
          <t>⬜ 未开始</t>
        </is>
      </c>
      <c r="K64" s="11" t="inlineStr">
        <is>
          <t>每日生成哈希链，校验任务可发现任意一条被篡改的记录。；留存 ≥180 天；到期归档而非直接删除。；提供只读校验接口，输出最近 30 天校验结果。</t>
        </is>
      </c>
    </row>
    <row r="65" ht="58" customHeight="1">
      <c r="A65" s="11" t="inlineStr">
        <is>
          <t>REQ-RAG-01</t>
        </is>
      </c>
      <c r="B65" s="11" t="inlineStr">
        <is>
          <t>RAG</t>
        </is>
      </c>
      <c r="C65" s="11" t="inlineStr">
        <is>
          <t>知识库上传</t>
        </is>
      </c>
      <c r="D65" s="11" t="inlineStr">
        <is>
          <t>P0</t>
        </is>
      </c>
      <c r="E65" s="11" t="inlineStr">
        <is>
          <t>S5</t>
        </is>
      </c>
      <c r="F65" s="11" t="inlineStr">
        <is>
          <t>—</t>
        </is>
      </c>
      <c r="G65" s="11" t="inlineStr">
        <is>
          <t>—</t>
        </is>
      </c>
      <c r="H65" s="11" t="inlineStr">
        <is>
          <t>—</t>
        </is>
      </c>
      <c r="I65" s="11" t="inlineStr">
        <is>
          <t>—</t>
        </is>
      </c>
      <c r="J65" s="11" t="inlineStr">
        <is>
          <t>⬜ 未开始</t>
        </is>
      </c>
      <c r="K65" s="11" t="inlineStr">
        <is>
          <t>支持格式内 ≤20MB 文件上传成功；超限/不支持格式返回 `400`。；解析失败展示具体原因（加密/损坏/扫描件无文字），可重试。；上传动作与文件哈希写入审计日志。</t>
        </is>
      </c>
    </row>
    <row r="66" ht="58" customHeight="1">
      <c r="A66" s="11" t="inlineStr">
        <is>
          <t>REQ-RAG-02</t>
        </is>
      </c>
      <c r="B66" s="11" t="inlineStr">
        <is>
          <t>RAG</t>
        </is>
      </c>
      <c r="C66" s="11" t="inlineStr">
        <is>
          <t>解析切分入库</t>
        </is>
      </c>
      <c r="D66" s="11" t="inlineStr">
        <is>
          <t>P0</t>
        </is>
      </c>
      <c r="E66" s="11" t="inlineStr">
        <is>
          <t>S5</t>
        </is>
      </c>
      <c r="F66" s="11" t="inlineStr">
        <is>
          <t>—</t>
        </is>
      </c>
      <c r="G66" s="11" t="inlineStr">
        <is>
          <t>—</t>
        </is>
      </c>
      <c r="H66" s="11" t="inlineStr">
        <is>
          <t>—</t>
        </is>
      </c>
      <c r="I66" s="11" t="inlineStr">
        <is>
          <t>—</t>
        </is>
      </c>
      <c r="J66" s="11" t="inlineStr">
        <is>
          <t>⬜ 未开始</t>
        </is>
      </c>
      <c r="K66" s="11" t="inlineStr">
        <is>
          <t>切分粒度 500±50 字、重叠 50 字；每块保留文档名、章节、版本元数据。；入库后 5 分钟内可被检索；失败任务进入重试队列并可见状态。；同一文档重复上传按哈希去重，不产生重复向量。</t>
        </is>
      </c>
    </row>
    <row r="67" ht="58" customHeight="1">
      <c r="A67" s="11" t="inlineStr">
        <is>
          <t>REQ-RAG-03</t>
        </is>
      </c>
      <c r="B67" s="11" t="inlineStr">
        <is>
          <t>RAG</t>
        </is>
      </c>
      <c r="C67" s="11" t="inlineStr">
        <is>
          <t>知识库版本管理</t>
        </is>
      </c>
      <c r="D67" s="11" t="inlineStr">
        <is>
          <t>P1</t>
        </is>
      </c>
      <c r="E67" s="11" t="inlineStr">
        <is>
          <t>S5</t>
        </is>
      </c>
      <c r="F67" s="11" t="inlineStr">
        <is>
          <t>—</t>
        </is>
      </c>
      <c r="G67" s="11" t="inlineStr">
        <is>
          <t>—</t>
        </is>
      </c>
      <c r="H67" s="11" t="inlineStr">
        <is>
          <t>—</t>
        </is>
      </c>
      <c r="I67" s="11" t="inlineStr">
        <is>
          <t>—</t>
        </is>
      </c>
      <c r="J67" s="11" t="inlineStr">
        <is>
          <t>⬜ 未开始</t>
        </is>
      </c>
      <c r="K67" s="11" t="inlineStr">
        <is>
          <t>停用/删除后 1 分钟内不再被检索到。；支持版本回滚到上一版，回滚后检索结果对应旧版内容。；操作留痕（谁、何时、原因）。</t>
        </is>
      </c>
    </row>
    <row r="68" ht="58" customHeight="1">
      <c r="A68" s="11" t="inlineStr">
        <is>
          <t>REQ-RAG-04</t>
        </is>
      </c>
      <c r="B68" s="11" t="inlineStr">
        <is>
          <t>RAG</t>
        </is>
      </c>
      <c r="C68" s="11" t="inlineStr">
        <is>
          <t>问答与引用</t>
        </is>
      </c>
      <c r="D68" s="11" t="inlineStr">
        <is>
          <t>P0</t>
        </is>
      </c>
      <c r="E68" s="11" t="inlineStr">
        <is>
          <t>S5</t>
        </is>
      </c>
      <c r="F68" s="11" t="inlineStr">
        <is>
          <t>—</t>
        </is>
      </c>
      <c r="G68" s="11" t="inlineStr">
        <is>
          <t>—</t>
        </is>
      </c>
      <c r="H68" s="11" t="inlineStr">
        <is>
          <t>—</t>
        </is>
      </c>
      <c r="I68" s="11" t="inlineStr">
        <is>
          <t>—</t>
        </is>
      </c>
      <c r="J68" s="11" t="inlineStr">
        <is>
          <t>⬜ 未开始</t>
        </is>
      </c>
      <c r="K68" s="11" t="inlineStr">
        <is>
          <t>回答附至少 1 条来源（文档名 + 片段定位），可点击查看原文。；检索无可靠依据时明确回复"知识库暂无相关内容"并给出人工入口，不编造。；P95 首字返回 ≤5 秒；支持流式输出。</t>
        </is>
      </c>
    </row>
    <row r="69" ht="58" customHeight="1">
      <c r="A69" s="11" t="inlineStr">
        <is>
          <t>REQ-RAG-05</t>
        </is>
      </c>
      <c r="B69" s="11" t="inlineStr">
        <is>
          <t>RAG</t>
        </is>
      </c>
      <c r="C69" s="11" t="inlineStr">
        <is>
          <t>只读边界</t>
        </is>
      </c>
      <c r="D69" s="11" t="inlineStr">
        <is>
          <t>P0</t>
        </is>
      </c>
      <c r="E69" s="11" t="inlineStr">
        <is>
          <t>S5</t>
        </is>
      </c>
      <c r="F69" s="11" t="inlineStr">
        <is>
          <t>—</t>
        </is>
      </c>
      <c r="G69" s="11" t="inlineStr">
        <is>
          <t>—</t>
        </is>
      </c>
      <c r="H69" s="11" t="inlineStr">
        <is>
          <t>—</t>
        </is>
      </c>
      <c r="I69" s="11" t="inlineStr">
        <is>
          <t>—</t>
        </is>
      </c>
      <c r="J69" s="11" t="inlineStr">
        <is>
          <t>⬜ 未开始</t>
        </is>
      </c>
      <c r="K69" s="11" t="inlineStr">
        <is>
          <t>用户说"帮我取消明天预约"，助手仅给出操作指引与入口，不产生任何写操作。；助手服务无业务写接口凭证；安全测试确认其无法调用写 API。；提示词注入用例（20 条）不诱导其越权或泄露系统提示词。</t>
        </is>
      </c>
    </row>
    <row r="70" ht="58" customHeight="1">
      <c r="A70" s="11" t="inlineStr">
        <is>
          <t>REQ-RAG-06</t>
        </is>
      </c>
      <c r="B70" s="11" t="inlineStr">
        <is>
          <t>RAG</t>
        </is>
      </c>
      <c r="C70" s="11" t="inlineStr">
        <is>
          <t>无答案兜底与转人工</t>
        </is>
      </c>
      <c r="D70" s="11" t="inlineStr">
        <is>
          <t>P0</t>
        </is>
      </c>
      <c r="E70" s="11" t="inlineStr">
        <is>
          <t>S5</t>
        </is>
      </c>
      <c r="F70" s="11" t="inlineStr">
        <is>
          <t>—</t>
        </is>
      </c>
      <c r="G70" s="11" t="inlineStr">
        <is>
          <t>—</t>
        </is>
      </c>
      <c r="H70" s="11" t="inlineStr">
        <is>
          <t>—</t>
        </is>
      </c>
      <c r="I70" s="11" t="inlineStr">
        <is>
          <t>—</t>
        </is>
      </c>
      <c r="J70" s="11" t="inlineStr">
        <is>
          <t>⬜ 未开始</t>
        </is>
      </c>
      <c r="K70" s="11" t="inlineStr">
        <is>
          <t>连续 2 次未解决或用户点击"转人工"，生成工单并通知管理员。；告知用户"管理员将在 24 小时内回复"并展示工单号。；转人工记录可在后台查询与关闭。</t>
        </is>
      </c>
    </row>
    <row r="71" ht="58" customHeight="1">
      <c r="A71" s="11" t="inlineStr">
        <is>
          <t>REQ-RAG-07</t>
        </is>
      </c>
      <c r="B71" s="11" t="inlineStr">
        <is>
          <t>RAG</t>
        </is>
      </c>
      <c r="C71" s="11" t="inlineStr">
        <is>
          <t>评测与日志</t>
        </is>
      </c>
      <c r="D71" s="11" t="inlineStr">
        <is>
          <t>P1</t>
        </is>
      </c>
      <c r="E71" s="11" t="inlineStr">
        <is>
          <t>S5</t>
        </is>
      </c>
      <c r="F71" s="11" t="inlineStr">
        <is>
          <t>—</t>
        </is>
      </c>
      <c r="G71" s="11" t="inlineStr">
        <is>
          <t>—</t>
        </is>
      </c>
      <c r="H71" s="11" t="inlineStr">
        <is>
          <t>—</t>
        </is>
      </c>
      <c r="I71" s="11" t="inlineStr">
        <is>
          <t>—</t>
        </is>
      </c>
      <c r="J71" s="11" t="inlineStr">
        <is>
          <t>⬜ 未开始</t>
        </is>
      </c>
      <c r="K71" s="11" t="inlineStr">
        <is>
          <t>评测指标：Recall@5 ≥85%、答案正确率 ≥80%、引用准确率 ≥90%、拒答准确率 ≥85%。；每次知识库变更后自动跑回归评测，指标下降 &gt;5% 阻断发布。；日志含问题、检索块、答案、耗时、反馈（有用/无用），可导出；问题中的手机号入库前脱敏。</t>
        </is>
      </c>
    </row>
    <row r="72" ht="58" customHeight="1">
      <c r="A72" s="11" t="inlineStr">
        <is>
          <t>NFR-PERF-01</t>
        </is>
      </c>
      <c r="B72" s="11" t="inlineStr">
        <is>
          <t>NFR</t>
        </is>
      </c>
      <c r="C72" s="11" t="inlineStr">
        <is>
          <t>核心接口响应时间</t>
        </is>
      </c>
      <c r="D72" s="11" t="inlineStr">
        <is>
          <t>P0</t>
        </is>
      </c>
      <c r="E72" s="11" t="inlineStr">
        <is>
          <t>S4</t>
        </is>
      </c>
      <c r="F72" s="11" t="inlineStr">
        <is>
          <t>D2-01 §9</t>
        </is>
      </c>
      <c r="G72" s="11" t="inlineStr">
        <is>
          <t>—</t>
        </is>
      </c>
      <c r="H72" s="11" t="inlineStr">
        <is>
          <t>—</t>
        </is>
      </c>
      <c r="I72" s="11" t="inlineStr">
        <is>
          <t>TC-NFR-01</t>
        </is>
      </c>
      <c r="J72" s="11" t="inlineStr">
        <is>
          <t>⬜ 未开始</t>
        </is>
      </c>
      <c r="K72" s="11" t="inlineStr">
        <is>
          <t>预约提交 P95 ≤800ms（不含短信）、列表 ≤1.5s、统计查询 ≤3s、问答首字 ≤5s</t>
        </is>
      </c>
    </row>
    <row r="73" ht="58" customHeight="1">
      <c r="A73" s="11" t="inlineStr">
        <is>
          <t>NFR-PERF-02</t>
        </is>
      </c>
      <c r="B73" s="11" t="inlineStr">
        <is>
          <t>NFR</t>
        </is>
      </c>
      <c r="C73" s="11" t="inlineStr">
        <is>
          <t>高并发下不超卖、不崩溃</t>
        </is>
      </c>
      <c r="D73" s="11" t="inlineStr">
        <is>
          <t>P0</t>
        </is>
      </c>
      <c r="E73" s="11" t="inlineStr">
        <is>
          <t>S4</t>
        </is>
      </c>
      <c r="F73" s="11" t="inlineStr">
        <is>
          <t>R1-02 §3.4</t>
        </is>
      </c>
      <c r="G73" s="11" t="inlineStr">
        <is>
          <t>—</t>
        </is>
      </c>
      <c r="H73" s="11" t="inlineStr">
        <is>
          <t>—</t>
        </is>
      </c>
      <c r="I73" s="11" t="inlineStr">
        <is>
          <t>TC-NFR-02、TC-BOOK-04</t>
        </is>
      </c>
      <c r="J73" s="11" t="inlineStr">
        <is>
          <t>⬜ 未开始</t>
        </is>
      </c>
      <c r="K73" s="11" t="inlineStr">
        <is>
          <t>200 并发浏览无 5xx；20 TPS 提交成功率 ≥99%；100 并发同段仅 1 成功</t>
        </is>
      </c>
    </row>
    <row r="74" ht="58" customHeight="1">
      <c r="A74" s="11" t="inlineStr">
        <is>
          <t>NFR-AVAIL-01</t>
        </is>
      </c>
      <c r="B74" s="11" t="inlineStr">
        <is>
          <t>NFR</t>
        </is>
      </c>
      <c r="C74" s="11" t="inlineStr">
        <is>
          <t>演示与试运行期可用性</t>
        </is>
      </c>
      <c r="D74" s="11" t="inlineStr">
        <is>
          <t>P0</t>
        </is>
      </c>
      <c r="E74" s="11" t="inlineStr">
        <is>
          <t>S5</t>
        </is>
      </c>
      <c r="F74" s="11" t="inlineStr">
        <is>
          <t>O5-01 §7</t>
        </is>
      </c>
      <c r="G74" s="11" t="inlineStr">
        <is>
          <t>—</t>
        </is>
      </c>
      <c r="H74" s="11" t="inlineStr">
        <is>
          <t>—</t>
        </is>
      </c>
      <c r="I74" s="11" t="inlineStr">
        <is>
          <t>TC-NFR-08</t>
        </is>
      </c>
      <c r="J74" s="11" t="inlineStr">
        <is>
          <t>⬜ 未开始</t>
        </is>
      </c>
      <c r="K74" s="11" t="inlineStr">
        <is>
          <t>月度可用性 ≥99.5%；单点故障恢复 ≤30min；RPO ≤15min、RTO ≤2h</t>
        </is>
      </c>
    </row>
    <row r="75" ht="58" customHeight="1">
      <c r="A75" s="11" t="inlineStr">
        <is>
          <t>NFR-SAFE-01</t>
        </is>
      </c>
      <c r="B75" s="11" t="inlineStr">
        <is>
          <t>NFR</t>
        </is>
      </c>
      <c r="C75" s="11" t="inlineStr">
        <is>
          <t>传输与存储加密</t>
        </is>
      </c>
      <c r="D75" s="11" t="inlineStr">
        <is>
          <t>P0</t>
        </is>
      </c>
      <c r="E75" s="11" t="inlineStr">
        <is>
          <t>S1</t>
        </is>
      </c>
      <c r="F75" s="11" t="inlineStr">
        <is>
          <t>D2-06 §5</t>
        </is>
      </c>
      <c r="G75" s="11" t="inlineStr">
        <is>
          <t>—</t>
        </is>
      </c>
      <c r="H75" s="11" t="inlineStr">
        <is>
          <t>—</t>
        </is>
      </c>
      <c r="I75" s="11" t="inlineStr">
        <is>
          <t>TC-NFR-03</t>
        </is>
      </c>
      <c r="J75" s="11" t="inlineStr">
        <is>
          <t>⬜ 未开始</t>
        </is>
      </c>
      <c r="K75" s="11" t="inlineStr">
        <is>
          <t>全站 TLS1.2+；手机号/资质 AES-256-GCM 加密；密码 Argon2id 或 bcrypt(cost≥10)</t>
        </is>
      </c>
    </row>
    <row r="76" ht="58" customHeight="1">
      <c r="A76" s="11" t="inlineStr">
        <is>
          <t>NFR-SAFE-02</t>
        </is>
      </c>
      <c r="B76" s="11" t="inlineStr">
        <is>
          <t>NFR</t>
        </is>
      </c>
      <c r="C76" s="11" t="inlineStr">
        <is>
          <t>最小化展示</t>
        </is>
      </c>
      <c r="D76" s="11" t="inlineStr">
        <is>
          <t>P0</t>
        </is>
      </c>
      <c r="E76" s="11" t="inlineStr">
        <is>
          <t>S2</t>
        </is>
      </c>
      <c r="F76" s="11" t="inlineStr">
        <is>
          <t>D2-06 §5.2</t>
        </is>
      </c>
      <c r="G76" s="11" t="inlineStr">
        <is>
          <t>—</t>
        </is>
      </c>
      <c r="H76" s="11" t="inlineStr">
        <is>
          <t>—</t>
        </is>
      </c>
      <c r="I76" s="11" t="inlineStr">
        <is>
          <t>TC-NFR-03、TC-STAT-04</t>
        </is>
      </c>
      <c r="J76" s="11" t="inlineStr">
        <is>
          <t>⬜ 未开始</t>
        </is>
      </c>
      <c r="K76" s="11" t="inlineStr">
        <is>
          <t>列表/导出默认脱敏；无批量导出全号接口；无任何反脱敏功能（安全审计 0 发现）</t>
        </is>
      </c>
    </row>
    <row r="77" ht="58" customHeight="1">
      <c r="A77" s="11" t="inlineStr">
        <is>
          <t>NFR-SAFE-03</t>
        </is>
      </c>
      <c r="B77" s="11" t="inlineStr">
        <is>
          <t>NFR</t>
        </is>
      </c>
      <c r="C77" s="11" t="inlineStr">
        <is>
          <t>符合《个人信息保护法》</t>
        </is>
      </c>
      <c r="D77" s="11" t="inlineStr">
        <is>
          <t>P0</t>
        </is>
      </c>
      <c r="E77" s="11" t="inlineStr">
        <is>
          <t>S2</t>
        </is>
      </c>
      <c r="F77" s="11" t="inlineStr">
        <is>
          <t>D2-06 §3</t>
        </is>
      </c>
      <c r="G77" s="11" t="inlineStr">
        <is>
          <t>—</t>
        </is>
      </c>
      <c r="H77" s="11" t="inlineStr">
        <is>
          <t>—</t>
        </is>
      </c>
      <c r="I77" s="11" t="inlineStr">
        <is>
          <t>TC-NFR-03</t>
        </is>
      </c>
      <c r="J77" s="11" t="inlineStr">
        <is>
          <t>⬜ 未开始</t>
        </is>
      </c>
      <c r="K77" s="11" t="inlineStr">
        <is>
          <t>禁存身份证/银行卡/住址；提供隐私政策与授权记录；数据境内存储；可导出/删除本人信息</t>
        </is>
      </c>
    </row>
    <row r="78" ht="58" customHeight="1">
      <c r="A78" s="11" t="inlineStr">
        <is>
          <t>NFR-SAFE-04</t>
        </is>
      </c>
      <c r="B78" s="11" t="inlineStr">
        <is>
          <t>NFR</t>
        </is>
      </c>
      <c r="C78" s="11" t="inlineStr">
        <is>
          <t>操作可追溯</t>
        </is>
      </c>
      <c r="D78" s="11" t="inlineStr">
        <is>
          <t>P0</t>
        </is>
      </c>
      <c r="E78" s="11" t="inlineStr">
        <is>
          <t>S4</t>
        </is>
      </c>
      <c r="F78" s="11" t="inlineStr">
        <is>
          <t>D2-06 §5.4</t>
        </is>
      </c>
      <c r="G78" s="11" t="inlineStr">
        <is>
          <t>—</t>
        </is>
      </c>
      <c r="H78" s="11" t="inlineStr">
        <is>
          <t>—</t>
        </is>
      </c>
      <c r="I78" s="11" t="inlineStr">
        <is>
          <t>TC-AUTH-06、TC-AUTH-09</t>
        </is>
      </c>
      <c r="J78" s="11" t="inlineStr">
        <is>
          <t>⬜ 未开始</t>
        </is>
      </c>
      <c r="K78" s="11" t="inlineStr">
        <is>
          <t>审计日志 ≥6 个月、append-only、敏感操作 100% 留痕</t>
        </is>
      </c>
    </row>
    <row r="79" ht="58" customHeight="1">
      <c r="A79" s="11" t="inlineStr">
        <is>
          <t>NFR-COMPAT-01</t>
        </is>
      </c>
      <c r="B79" s="11" t="inlineStr">
        <is>
          <t>NFR</t>
        </is>
      </c>
      <c r="C79" s="11" t="inlineStr">
        <is>
          <t>浏览器与终端</t>
        </is>
      </c>
      <c r="D79" s="11" t="inlineStr">
        <is>
          <t>P0</t>
        </is>
      </c>
      <c r="E79" s="11" t="inlineStr">
        <is>
          <t>S3</t>
        </is>
      </c>
      <c r="F79" s="11" t="inlineStr">
        <is>
          <t>D2-05 §7</t>
        </is>
      </c>
      <c r="G79" s="11" t="inlineStr">
        <is>
          <t>—</t>
        </is>
      </c>
      <c r="H79" s="11" t="inlineStr">
        <is>
          <t>—</t>
        </is>
      </c>
      <c r="I79" s="11" t="inlineStr">
        <is>
          <t>TC-NFR-04</t>
        </is>
      </c>
      <c r="J79" s="11" t="inlineStr">
        <is>
          <t>⬜ 未开始</t>
        </is>
      </c>
      <c r="K79" s="11" t="inlineStr">
        <is>
          <t>Chrome/Edge/Firefox 最近 2 个大版本；PC ≥1366×768；H5 375–428px 可用</t>
        </is>
      </c>
    </row>
    <row r="80" ht="58" customHeight="1">
      <c r="A80" s="11" t="inlineStr">
        <is>
          <t>NFR-EXT-01</t>
        </is>
      </c>
      <c r="B80" s="11" t="inlineStr">
        <is>
          <t>NFR</t>
        </is>
      </c>
      <c r="C80" s="11" t="inlineStr">
        <is>
          <t>架构可扩展</t>
        </is>
      </c>
      <c r="D80" s="11" t="inlineStr">
        <is>
          <t>P1</t>
        </is>
      </c>
      <c r="E80" s="11" t="inlineStr">
        <is>
          <t>S5</t>
        </is>
      </c>
      <c r="F80" s="11" t="inlineStr">
        <is>
          <t>D2-01 §3</t>
        </is>
      </c>
      <c r="G80" s="11" t="inlineStr">
        <is>
          <t>—</t>
        </is>
      </c>
      <c r="H80" s="11" t="inlineStr">
        <is>
          <t>—</t>
        </is>
      </c>
      <c r="I80" s="11" t="inlineStr">
        <is>
          <t>TC-NFR-05</t>
        </is>
      </c>
      <c r="J80" s="11" t="inlineStr">
        <is>
          <t>⬜ 未开始</t>
        </is>
      </c>
      <c r="K80" s="11" t="inlineStr">
        <is>
          <t>新增统计指标不改核心代码；API 版本化；数据量 10 倍时 P95 衰减 ≤20%</t>
        </is>
      </c>
    </row>
    <row r="81" ht="58" customHeight="1">
      <c r="A81" s="11" t="inlineStr">
        <is>
          <t>NFR-MAINT-01</t>
        </is>
      </c>
      <c r="B81" s="11" t="inlineStr">
        <is>
          <t>NFR</t>
        </is>
      </c>
      <c r="C81" s="11" t="inlineStr">
        <is>
          <t>代码质量</t>
        </is>
      </c>
      <c r="D81" s="11" t="inlineStr">
        <is>
          <t>P0</t>
        </is>
      </c>
      <c r="E81" s="11" t="inlineStr">
        <is>
          <t>S4</t>
        </is>
      </c>
      <c r="F81" s="11" t="inlineStr">
        <is>
          <t>C3-02</t>
        </is>
      </c>
      <c r="G81" s="11" t="inlineStr">
        <is>
          <t>—</t>
        </is>
      </c>
      <c r="H81" s="11" t="inlineStr">
        <is>
          <t>—</t>
        </is>
      </c>
      <c r="I81" s="11" t="inlineStr">
        <is>
          <t>TC-NFR-05</t>
        </is>
      </c>
      <c r="J81" s="11" t="inlineStr">
        <is>
          <t>⬜ 未开始</t>
        </is>
      </c>
      <c r="K81" s="11" t="inlineStr">
        <is>
          <t>注释率 ≥50%；核心模块单测覆盖率 ≥70%；静态扫描 Blocker/Critical = 0</t>
        </is>
      </c>
    </row>
    <row r="82" ht="58" customHeight="1">
      <c r="A82" s="11" t="inlineStr">
        <is>
          <t>NFR-UX-01</t>
        </is>
      </c>
      <c r="B82" s="11" t="inlineStr">
        <is>
          <t>NFR</t>
        </is>
      </c>
      <c r="C82" s="11" t="inlineStr">
        <is>
          <t>农户端简洁</t>
        </is>
      </c>
      <c r="D82" s="11" t="inlineStr">
        <is>
          <t>P1</t>
        </is>
      </c>
      <c r="E82" s="11" t="inlineStr">
        <is>
          <t>S3</t>
        </is>
      </c>
      <c r="F82" s="11" t="inlineStr">
        <is>
          <t>D2-05</t>
        </is>
      </c>
      <c r="G82" s="11" t="inlineStr">
        <is>
          <t>—</t>
        </is>
      </c>
      <c r="H82" s="11" t="inlineStr">
        <is>
          <t>—</t>
        </is>
      </c>
      <c r="I82" s="11" t="inlineStr">
        <is>
          <t>TC-NFR-06</t>
        </is>
      </c>
      <c r="J82" s="11" t="inlineStr">
        <is>
          <t>⬜ 未开始</t>
        </is>
      </c>
      <c r="K82" s="11" t="inlineStr">
        <is>
          <t>预约全流程 ≤3 步、≤2 分钟；UAT 任务成功率 ≥90%、SUS ≥70</t>
        </is>
      </c>
    </row>
    <row r="83" ht="58" customHeight="1">
      <c r="A83" s="11" t="inlineStr">
        <is>
          <t>NFR-OBS-01</t>
        </is>
      </c>
      <c r="B83" s="11" t="inlineStr">
        <is>
          <t>NFR</t>
        </is>
      </c>
      <c r="C83" s="11" t="inlineStr">
        <is>
          <t>可定位问题</t>
        </is>
      </c>
      <c r="D83" s="11" t="inlineStr">
        <is>
          <t>P1</t>
        </is>
      </c>
      <c r="E83" s="11" t="inlineStr">
        <is>
          <t>S5</t>
        </is>
      </c>
      <c r="F83" s="11" t="inlineStr">
        <is>
          <t>O5-01 §6</t>
        </is>
      </c>
      <c r="G83" s="11" t="inlineStr">
        <is>
          <t>—</t>
        </is>
      </c>
      <c r="H83" s="11" t="inlineStr">
        <is>
          <t>—</t>
        </is>
      </c>
      <c r="I83" s="11" t="inlineStr">
        <is>
          <t>TC-NFR-07</t>
        </is>
      </c>
      <c r="J83" s="11" t="inlineStr">
        <is>
          <t>⬜ 未开始</t>
        </is>
      </c>
      <c r="K83" s="11" t="inlineStr">
        <is>
          <t>全链路 traceId；关键告警 5 分钟内触达；结构化日志保留 ≥30 天</t>
        </is>
      </c>
    </row>
  </sheetData>
  <autoFilter ref="A2:K83"/>
  <mergeCells count="1">
    <mergeCell ref="A1:K1"/>
  </mergeCells>
  <conditionalFormatting sqref="D3:D83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dataValidations count="1">
    <dataValidation sqref="J3:J83" showDropDown="0" showInputMessage="0" showErrorMessage="0" allowBlank="1" type="list">
      <formula1>"⬜ 未开始,🔨 开发中,🟡 待测,✅ 已验收,⛔ 阻塞"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8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20" customWidth="1" min="4" max="4"/>
    <col width="52" customWidth="1" min="5" max="5"/>
    <col width="28" customWidth="1" min="6" max="6"/>
    <col width="30" customWidth="1" min="7" max="7"/>
  </cols>
  <sheetData>
    <row r="1" ht="34" customHeight="1">
      <c r="A1" s="9" t="inlineStr">
        <is>
          <t>需求追踪矩阵 · REQ ↔ 设计 ↔ API ↔ 数据表 ↔ 用例</t>
        </is>
      </c>
    </row>
    <row r="2" ht="30" customHeight="1">
      <c r="A2" s="10" t="inlineStr">
        <is>
          <t>需求编号</t>
        </is>
      </c>
      <c r="B2" s="10" t="inlineStr">
        <is>
          <t>优先级</t>
        </is>
      </c>
      <c r="C2" s="10" t="inlineStr">
        <is>
          <t>迭代</t>
        </is>
      </c>
      <c r="D2" s="10" t="inlineStr">
        <is>
          <t>设计章节</t>
        </is>
      </c>
      <c r="E2" s="10" t="inlineStr">
        <is>
          <t>接口/验证方式</t>
        </is>
      </c>
      <c r="F2" s="10" t="inlineStr">
        <is>
          <t>数据表</t>
        </is>
      </c>
      <c r="G2" s="10" t="inlineStr">
        <is>
          <t>测试用例</t>
        </is>
      </c>
    </row>
    <row r="3" ht="38" customHeight="1">
      <c r="A3" s="11" t="inlineStr">
        <is>
          <t>REQ-BASE-01</t>
        </is>
      </c>
      <c r="B3" s="11" t="inlineStr">
        <is>
          <t>P0</t>
        </is>
      </c>
      <c r="C3" s="11" t="inlineStr">
        <is>
          <t>S1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 ht="38" customHeight="1">
      <c r="A4" s="11" t="inlineStr">
        <is>
          <t>REQ-BASE-02</t>
        </is>
      </c>
      <c r="B4" s="11" t="inlineStr">
        <is>
          <t>P0</t>
        </is>
      </c>
      <c r="C4" s="11" t="inlineStr">
        <is>
          <t>S1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 ht="38" customHeight="1">
      <c r="A5" s="11" t="inlineStr">
        <is>
          <t>REQ-BASE-03</t>
        </is>
      </c>
      <c r="B5" s="11" t="inlineStr">
        <is>
          <t>P0</t>
        </is>
      </c>
      <c r="C5" s="11" t="inlineStr">
        <is>
          <t>S1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 ht="38" customHeight="1">
      <c r="A6" s="11" t="inlineStr">
        <is>
          <t>REQ-BASE-04</t>
        </is>
      </c>
      <c r="B6" s="11" t="inlineStr">
        <is>
          <t>P1</t>
        </is>
      </c>
      <c r="C6" s="11" t="inlineStr">
        <is>
          <t>S1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 ht="38" customHeight="1">
      <c r="A7" s="11" t="inlineStr">
        <is>
          <t>REQ-BASE-05</t>
        </is>
      </c>
      <c r="B7" s="11" t="inlineStr">
        <is>
          <t>P0</t>
        </is>
      </c>
      <c r="C7" s="11" t="inlineStr">
        <is>
          <t>S1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 ht="38" customHeight="1">
      <c r="A8" s="11" t="inlineStr">
        <is>
          <t>REQ-BASE-06</t>
        </is>
      </c>
      <c r="B8" s="11" t="inlineStr">
        <is>
          <t>P0</t>
        </is>
      </c>
      <c r="C8" s="11" t="inlineStr">
        <is>
          <t>S1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 ht="38" customHeight="1">
      <c r="A9" s="11" t="inlineStr">
        <is>
          <t>REQ-BASE-07</t>
        </is>
      </c>
      <c r="B9" s="11" t="inlineStr">
        <is>
          <t>P2</t>
        </is>
      </c>
      <c r="C9" s="11" t="inlineStr">
        <is>
          <t>S4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 ht="38" customHeight="1">
      <c r="A10" s="11" t="inlineStr">
        <is>
          <t>REQ-BASE-08</t>
        </is>
      </c>
      <c r="B10" s="11" t="inlineStr">
        <is>
          <t>P0</t>
        </is>
      </c>
      <c r="C10" s="11" t="inlineStr">
        <is>
          <t>S1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 ht="38" customHeight="1">
      <c r="A11" s="11" t="inlineStr">
        <is>
          <t>REQ-BASE-09</t>
        </is>
      </c>
      <c r="B11" s="11" t="inlineStr">
        <is>
          <t>P0</t>
        </is>
      </c>
      <c r="C11" s="11" t="inlineStr">
        <is>
          <t>S1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 ht="38" customHeight="1">
      <c r="A12" s="11" t="inlineStr">
        <is>
          <t>REQ-BASE-10</t>
        </is>
      </c>
      <c r="B12" s="11" t="inlineStr">
        <is>
          <t>P0</t>
        </is>
      </c>
      <c r="C12" s="11" t="inlineStr">
        <is>
          <t>S1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 ht="38" customHeight="1">
      <c r="A13" s="11" t="inlineStr">
        <is>
          <t>REQ-BASE-11</t>
        </is>
      </c>
      <c r="B13" s="11" t="inlineStr">
        <is>
          <t>P0</t>
        </is>
      </c>
      <c r="C13" s="11" t="inlineStr">
        <is>
          <t>S1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 ht="38" customHeight="1">
      <c r="A14" s="11" t="inlineStr">
        <is>
          <t>REQ-BASE-12</t>
        </is>
      </c>
      <c r="B14" s="11" t="inlineStr">
        <is>
          <t>P2</t>
        </is>
      </c>
      <c r="C14" s="11" t="inlineStr">
        <is>
          <t>S5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 ht="38" customHeight="1">
      <c r="A15" s="11" t="inlineStr">
        <is>
          <t>REQ-BASE-13</t>
        </is>
      </c>
      <c r="B15" s="11" t="inlineStr">
        <is>
          <t>P0</t>
        </is>
      </c>
      <c r="C15" s="11" t="inlineStr">
        <is>
          <t>S1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 ht="38" customHeight="1">
      <c r="A16" s="11" t="inlineStr">
        <is>
          <t>REQ-BOOK-01</t>
        </is>
      </c>
      <c r="B16" s="11" t="inlineStr">
        <is>
          <t>P0</t>
        </is>
      </c>
      <c r="C16" s="11" t="inlineStr">
        <is>
          <t>S2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 ht="38" customHeight="1">
      <c r="A17" s="11" t="inlineStr">
        <is>
          <t>REQ-BOOK-02</t>
        </is>
      </c>
      <c r="B17" s="11" t="inlineStr">
        <is>
          <t>P0</t>
        </is>
      </c>
      <c r="C17" s="11" t="inlineStr">
        <is>
          <t>S2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 ht="38" customHeight="1">
      <c r="A18" s="11" t="inlineStr">
        <is>
          <t>REQ-BOOK-03</t>
        </is>
      </c>
      <c r="B18" s="11" t="inlineStr">
        <is>
          <t>P0</t>
        </is>
      </c>
      <c r="C18" s="11" t="inlineStr">
        <is>
          <t>S2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 ht="38" customHeight="1">
      <c r="A19" s="11" t="inlineStr">
        <is>
          <t>REQ-BOOK-04</t>
        </is>
      </c>
      <c r="B19" s="11" t="inlineStr">
        <is>
          <t>P0</t>
        </is>
      </c>
      <c r="C19" s="11" t="inlineStr">
        <is>
          <t>S2</t>
        </is>
      </c>
      <c r="D19" s="11" t="inlineStr">
        <is>
          <t>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 ht="38" customHeight="1">
      <c r="A20" s="11" t="inlineStr">
        <is>
          <t>REQ-BOOK-05</t>
        </is>
      </c>
      <c r="B20" s="11" t="inlineStr">
        <is>
          <t>P0</t>
        </is>
      </c>
      <c r="C20" s="11" t="inlineStr">
        <is>
          <t>S2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 ht="38" customHeight="1">
      <c r="A21" s="11" t="inlineStr">
        <is>
          <t>REQ-BOOK-06</t>
        </is>
      </c>
      <c r="B21" s="11" t="inlineStr">
        <is>
          <t>P0</t>
        </is>
      </c>
      <c r="C21" s="11" t="inlineStr">
        <is>
          <t>S2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 ht="38" customHeight="1">
      <c r="A22" s="11" t="inlineStr">
        <is>
          <t>REQ-BOOK-07</t>
        </is>
      </c>
      <c r="B22" s="11" t="inlineStr">
        <is>
          <t>P0</t>
        </is>
      </c>
      <c r="C22" s="11" t="inlineStr">
        <is>
          <t>S2</t>
        </is>
      </c>
      <c r="D22" s="11" t="inlineStr">
        <is>
          <t>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 ht="38" customHeight="1">
      <c r="A23" s="11" t="inlineStr">
        <is>
          <t>REQ-BOOK-08</t>
        </is>
      </c>
      <c r="B23" s="11" t="inlineStr">
        <is>
          <t>P0</t>
        </is>
      </c>
      <c r="C23" s="11" t="inlineStr">
        <is>
          <t>S2</t>
        </is>
      </c>
      <c r="D23" s="11" t="inlineStr">
        <is>
          <t>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 ht="38" customHeight="1">
      <c r="A24" s="11" t="inlineStr">
        <is>
          <t>REQ-BOOK-09</t>
        </is>
      </c>
      <c r="B24" s="11" t="inlineStr">
        <is>
          <t>P1</t>
        </is>
      </c>
      <c r="C24" s="11" t="inlineStr">
        <is>
          <t>S4</t>
        </is>
      </c>
      <c r="D24" s="11" t="inlineStr">
        <is>
          <t>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 ht="38" customHeight="1">
      <c r="A25" s="11" t="inlineStr">
        <is>
          <t>REQ-BOOK-10</t>
        </is>
      </c>
      <c r="B25" s="11" t="inlineStr">
        <is>
          <t>P0</t>
        </is>
      </c>
      <c r="C25" s="11" t="inlineStr">
        <is>
          <t>S3</t>
        </is>
      </c>
      <c r="D25" s="11" t="inlineStr">
        <is>
          <t>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 ht="38" customHeight="1">
      <c r="A26" s="11" t="inlineStr">
        <is>
          <t>REQ-BOOK-11</t>
        </is>
      </c>
      <c r="B26" s="11" t="inlineStr">
        <is>
          <t>P0</t>
        </is>
      </c>
      <c r="C26" s="11" t="inlineStr">
        <is>
          <t>S3</t>
        </is>
      </c>
      <c r="D26" s="11" t="inlineStr">
        <is>
          <t>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 ht="38" customHeight="1">
      <c r="A27" s="11" t="inlineStr">
        <is>
          <t>REQ-BOOK-12</t>
        </is>
      </c>
      <c r="B27" s="11" t="inlineStr">
        <is>
          <t>P0</t>
        </is>
      </c>
      <c r="C27" s="11" t="inlineStr">
        <is>
          <t>S3</t>
        </is>
      </c>
      <c r="D27" s="11" t="inlineStr">
        <is>
          <t>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 ht="38" customHeight="1">
      <c r="A28" s="11" t="inlineStr">
        <is>
          <t>REQ-BOOK-13</t>
        </is>
      </c>
      <c r="B28" s="11" t="inlineStr">
        <is>
          <t>P0</t>
        </is>
      </c>
      <c r="C28" s="11" t="inlineStr">
        <is>
          <t>S2</t>
        </is>
      </c>
      <c r="D28" s="11" t="inlineStr">
        <is>
          <t>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 ht="38" customHeight="1">
      <c r="A29" s="11" t="inlineStr">
        <is>
          <t>REQ-BOOK-14</t>
        </is>
      </c>
      <c r="B29" s="11" t="inlineStr">
        <is>
          <t>P1</t>
        </is>
      </c>
      <c r="C29" s="11" t="inlineStr">
        <is>
          <t>S2</t>
        </is>
      </c>
      <c r="D29" s="11" t="inlineStr">
        <is>
          <t>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 ht="38" customHeight="1">
      <c r="A30" s="11" t="inlineStr">
        <is>
          <t>REQ-QUEUE-01</t>
        </is>
      </c>
      <c r="B30" s="11" t="inlineStr">
        <is>
          <t>P0</t>
        </is>
      </c>
      <c r="C30" s="11" t="inlineStr">
        <is>
          <t>S3</t>
        </is>
      </c>
      <c r="D30" s="11" t="inlineStr">
        <is>
          <t>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 ht="38" customHeight="1">
      <c r="A31" s="11" t="inlineStr">
        <is>
          <t>REQ-QUEUE-02</t>
        </is>
      </c>
      <c r="B31" s="11" t="inlineStr">
        <is>
          <t>P0</t>
        </is>
      </c>
      <c r="C31" s="11" t="inlineStr">
        <is>
          <t>S3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 ht="38" customHeight="1">
      <c r="A32" s="11" t="inlineStr">
        <is>
          <t>REQ-QUEUE-03</t>
        </is>
      </c>
      <c r="B32" s="11" t="inlineStr">
        <is>
          <t>P0</t>
        </is>
      </c>
      <c r="C32" s="11" t="inlineStr">
        <is>
          <t>S3</t>
        </is>
      </c>
      <c r="D32" s="11" t="inlineStr">
        <is>
          <t>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 ht="38" customHeight="1">
      <c r="A33" s="11" t="inlineStr">
        <is>
          <t>REQ-QUEUE-04</t>
        </is>
      </c>
      <c r="B33" s="11" t="inlineStr">
        <is>
          <t>P0</t>
        </is>
      </c>
      <c r="C33" s="11" t="inlineStr">
        <is>
          <t>S3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 ht="38" customHeight="1">
      <c r="A34" s="11" t="inlineStr">
        <is>
          <t>REQ-QUEUE-05</t>
        </is>
      </c>
      <c r="B34" s="11" t="inlineStr">
        <is>
          <t>P1</t>
        </is>
      </c>
      <c r="C34" s="11" t="inlineStr">
        <is>
          <t>S3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 ht="38" customHeight="1">
      <c r="A35" s="11" t="inlineStr">
        <is>
          <t>REQ-QUEUE-06</t>
        </is>
      </c>
      <c r="B35" s="11" t="inlineStr">
        <is>
          <t>P0</t>
        </is>
      </c>
      <c r="C35" s="11" t="inlineStr">
        <is>
          <t>S3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 ht="38" customHeight="1">
      <c r="A36" s="11" t="inlineStr">
        <is>
          <t>REQ-QUEUE-07</t>
        </is>
      </c>
      <c r="B36" s="11" t="inlineStr">
        <is>
          <t>P0</t>
        </is>
      </c>
      <c r="C36" s="11" t="inlineStr">
        <is>
          <t>S3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 ht="38" customHeight="1">
      <c r="A37" s="11" t="inlineStr">
        <is>
          <t>REQ-QUEUE-08</t>
        </is>
      </c>
      <c r="B37" s="11" t="inlineStr">
        <is>
          <t>P0</t>
        </is>
      </c>
      <c r="C37" s="11" t="inlineStr">
        <is>
          <t>S3</t>
        </is>
      </c>
      <c r="D37" s="11" t="inlineStr">
        <is>
          <t>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 ht="38" customHeight="1">
      <c r="A38" s="11" t="inlineStr">
        <is>
          <t>REQ-QUEUE-09</t>
        </is>
      </c>
      <c r="B38" s="11" t="inlineStr">
        <is>
          <t>P0</t>
        </is>
      </c>
      <c r="C38" s="11" t="inlineStr">
        <is>
          <t>S3</t>
        </is>
      </c>
      <c r="D38" s="11" t="inlineStr">
        <is>
          <t>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 ht="38" customHeight="1">
      <c r="A39" s="11" t="inlineStr">
        <is>
          <t>REQ-QUEUE-10</t>
        </is>
      </c>
      <c r="B39" s="11" t="inlineStr">
        <is>
          <t>P0</t>
        </is>
      </c>
      <c r="C39" s="11" t="inlineStr">
        <is>
          <t>S3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 ht="38" customHeight="1">
      <c r="A40" s="11" t="inlineStr">
        <is>
          <t>REQ-QUEUE-11</t>
        </is>
      </c>
      <c r="B40" s="11" t="inlineStr">
        <is>
          <t>P0</t>
        </is>
      </c>
      <c r="C40" s="11" t="inlineStr">
        <is>
          <t>S3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 ht="38" customHeight="1">
      <c r="A41" s="11" t="inlineStr">
        <is>
          <t>REQ-QUEUE-12</t>
        </is>
      </c>
      <c r="B41" s="11" t="inlineStr">
        <is>
          <t>P0</t>
        </is>
      </c>
      <c r="C41" s="11" t="inlineStr">
        <is>
          <t>S3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 ht="38" customHeight="1">
      <c r="A42" s="11" t="inlineStr">
        <is>
          <t>REQ-QUEUE-13</t>
        </is>
      </c>
      <c r="B42" s="11" t="inlineStr">
        <is>
          <t>P1</t>
        </is>
      </c>
      <c r="C42" s="11" t="inlineStr">
        <is>
          <t>S4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 ht="38" customHeight="1">
      <c r="A43" s="11" t="inlineStr">
        <is>
          <t>REQ-NOTI-01</t>
        </is>
      </c>
      <c r="B43" s="11" t="inlineStr">
        <is>
          <t>P0</t>
        </is>
      </c>
      <c r="C43" s="11" t="inlineStr">
        <is>
          <t>S2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 ht="38" customHeight="1">
      <c r="A44" s="11" t="inlineStr">
        <is>
          <t>REQ-NOTI-02</t>
        </is>
      </c>
      <c r="B44" s="11" t="inlineStr">
        <is>
          <t>P0</t>
        </is>
      </c>
      <c r="C44" s="11" t="inlineStr">
        <is>
          <t>S2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 ht="38" customHeight="1">
      <c r="A45" s="11" t="inlineStr">
        <is>
          <t>REQ-NOTI-03</t>
        </is>
      </c>
      <c r="B45" s="11" t="inlineStr">
        <is>
          <t>P0</t>
        </is>
      </c>
      <c r="C45" s="11" t="inlineStr">
        <is>
          <t>S2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 ht="38" customHeight="1">
      <c r="A46" s="11" t="inlineStr">
        <is>
          <t>REQ-NOTI-04</t>
        </is>
      </c>
      <c r="B46" s="11" t="inlineStr">
        <is>
          <t>P0</t>
        </is>
      </c>
      <c r="C46" s="11" t="inlineStr">
        <is>
          <t>S2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 ht="38" customHeight="1">
      <c r="A47" s="11" t="inlineStr">
        <is>
          <t>REQ-NOTI-05</t>
        </is>
      </c>
      <c r="B47" s="11" t="inlineStr">
        <is>
          <t>P1</t>
        </is>
      </c>
      <c r="C47" s="11" t="inlineStr">
        <is>
          <t>S2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 ht="38" customHeight="1">
      <c r="A48" s="11" t="inlineStr">
        <is>
          <t>REQ-NOTI-06</t>
        </is>
      </c>
      <c r="B48" s="11" t="inlineStr">
        <is>
          <t>P0</t>
        </is>
      </c>
      <c r="C48" s="11" t="inlineStr">
        <is>
          <t>S3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 ht="38" customHeight="1">
      <c r="A49" s="11" t="inlineStr">
        <is>
          <t>REQ-NOTI-07</t>
        </is>
      </c>
      <c r="B49" s="11" t="inlineStr">
        <is>
          <t>P2</t>
        </is>
      </c>
      <c r="C49" s="11" t="inlineStr">
        <is>
          <t>S5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 ht="38" customHeight="1">
      <c r="A50" s="11" t="inlineStr">
        <is>
          <t>REQ-STAT-01</t>
        </is>
      </c>
      <c r="B50" s="11" t="inlineStr">
        <is>
          <t>P0</t>
        </is>
      </c>
      <c r="C50" s="11" t="inlineStr">
        <is>
          <t>S4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 ht="38" customHeight="1">
      <c r="A51" s="11" t="inlineStr">
        <is>
          <t>REQ-STAT-02</t>
        </is>
      </c>
      <c r="B51" s="11" t="inlineStr">
        <is>
          <t>P0</t>
        </is>
      </c>
      <c r="C51" s="11" t="inlineStr">
        <is>
          <t>S4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 ht="38" customHeight="1">
      <c r="A52" s="11" t="inlineStr">
        <is>
          <t>REQ-STAT-03</t>
        </is>
      </c>
      <c r="B52" s="11" t="inlineStr">
        <is>
          <t>P1</t>
        </is>
      </c>
      <c r="C52" s="11" t="inlineStr">
        <is>
          <t>S4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 ht="38" customHeight="1">
      <c r="A53" s="11" t="inlineStr">
        <is>
          <t>REQ-STAT-04</t>
        </is>
      </c>
      <c r="B53" s="11" t="inlineStr">
        <is>
          <t>P0</t>
        </is>
      </c>
      <c r="C53" s="11" t="inlineStr">
        <is>
          <t>S4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 ht="38" customHeight="1">
      <c r="A54" s="11" t="inlineStr">
        <is>
          <t>REQ-STAT-05</t>
        </is>
      </c>
      <c r="B54" s="11" t="inlineStr">
        <is>
          <t>P1</t>
        </is>
      </c>
      <c r="C54" s="11" t="inlineStr">
        <is>
          <t>S4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 ht="38" customHeight="1">
      <c r="A55" s="11" t="inlineStr">
        <is>
          <t>REQ-STAT-06</t>
        </is>
      </c>
      <c r="B55" s="11" t="inlineStr">
        <is>
          <t>P1</t>
        </is>
      </c>
      <c r="C55" s="11" t="inlineStr">
        <is>
          <t>S4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 ht="38" customHeight="1">
      <c r="A56" s="11" t="inlineStr">
        <is>
          <t>REQ-STAT-07</t>
        </is>
      </c>
      <c r="B56" s="11" t="inlineStr">
        <is>
          <t>P1</t>
        </is>
      </c>
      <c r="C56" s="11" t="inlineStr">
        <is>
          <t>S4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 ht="38" customHeight="1">
      <c r="A57" s="11" t="inlineStr">
        <is>
          <t>REQ-AUTH-01</t>
        </is>
      </c>
      <c r="B57" s="11" t="inlineStr">
        <is>
          <t>P0</t>
        </is>
      </c>
      <c r="C57" s="11" t="inlineStr">
        <is>
          <t>S1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 ht="38" customHeight="1">
      <c r="A58" s="11" t="inlineStr">
        <is>
          <t>REQ-AUTH-02</t>
        </is>
      </c>
      <c r="B58" s="11" t="inlineStr">
        <is>
          <t>P0</t>
        </is>
      </c>
      <c r="C58" s="11" t="inlineStr">
        <is>
          <t>S1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 ht="38" customHeight="1">
      <c r="A59" s="11" t="inlineStr">
        <is>
          <t>REQ-AUTH-03</t>
        </is>
      </c>
      <c r="B59" s="11" t="inlineStr">
        <is>
          <t>P0</t>
        </is>
      </c>
      <c r="C59" s="11" t="inlineStr">
        <is>
          <t>S2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 ht="38" customHeight="1">
      <c r="A60" s="11" t="inlineStr">
        <is>
          <t>REQ-AUTH-04</t>
        </is>
      </c>
      <c r="B60" s="11" t="inlineStr">
        <is>
          <t>P1</t>
        </is>
      </c>
      <c r="C60" s="11" t="inlineStr">
        <is>
          <t>S4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 ht="38" customHeight="1">
      <c r="A61" s="11" t="inlineStr">
        <is>
          <t>REQ-AUTH-05</t>
        </is>
      </c>
      <c r="B61" s="11" t="inlineStr">
        <is>
          <t>P0</t>
        </is>
      </c>
      <c r="C61" s="11" t="inlineStr">
        <is>
          <t>S1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 ht="38" customHeight="1">
      <c r="A62" s="11" t="inlineStr">
        <is>
          <t>REQ-AUTH-06</t>
        </is>
      </c>
      <c r="B62" s="11" t="inlineStr">
        <is>
          <t>P1</t>
        </is>
      </c>
      <c r="C62" s="11" t="inlineStr">
        <is>
          <t>S4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 ht="38" customHeight="1">
      <c r="A63" s="11" t="inlineStr">
        <is>
          <t>REQ-AUTH-07</t>
        </is>
      </c>
      <c r="B63" s="11" t="inlineStr">
        <is>
          <t>P0</t>
        </is>
      </c>
      <c r="C63" s="11" t="inlineStr">
        <is>
          <t>S4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 ht="38" customHeight="1">
      <c r="A64" s="11" t="inlineStr">
        <is>
          <t>REQ-AUTH-08</t>
        </is>
      </c>
      <c r="B64" s="11" t="inlineStr">
        <is>
          <t>P1</t>
        </is>
      </c>
      <c r="C64" s="11" t="inlineStr">
        <is>
          <t>S4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 ht="38" customHeight="1">
      <c r="A65" s="11" t="inlineStr">
        <is>
          <t>REQ-RAG-01</t>
        </is>
      </c>
      <c r="B65" s="11" t="inlineStr">
        <is>
          <t>P0</t>
        </is>
      </c>
      <c r="C65" s="11" t="inlineStr">
        <is>
          <t>S5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 ht="38" customHeight="1">
      <c r="A66" s="11" t="inlineStr">
        <is>
          <t>REQ-RAG-02</t>
        </is>
      </c>
      <c r="B66" s="11" t="inlineStr">
        <is>
          <t>P0</t>
        </is>
      </c>
      <c r="C66" s="11" t="inlineStr">
        <is>
          <t>S5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 ht="38" customHeight="1">
      <c r="A67" s="11" t="inlineStr">
        <is>
          <t>REQ-RAG-03</t>
        </is>
      </c>
      <c r="B67" s="11" t="inlineStr">
        <is>
          <t>P1</t>
        </is>
      </c>
      <c r="C67" s="11" t="inlineStr">
        <is>
          <t>S5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 ht="38" customHeight="1">
      <c r="A68" s="11" t="inlineStr">
        <is>
          <t>REQ-RAG-04</t>
        </is>
      </c>
      <c r="B68" s="11" t="inlineStr">
        <is>
          <t>P0</t>
        </is>
      </c>
      <c r="C68" s="11" t="inlineStr">
        <is>
          <t>S5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 ht="38" customHeight="1">
      <c r="A69" s="11" t="inlineStr">
        <is>
          <t>REQ-RAG-05</t>
        </is>
      </c>
      <c r="B69" s="11" t="inlineStr">
        <is>
          <t>P0</t>
        </is>
      </c>
      <c r="C69" s="11" t="inlineStr">
        <is>
          <t>S5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 ht="38" customHeight="1">
      <c r="A70" s="11" t="inlineStr">
        <is>
          <t>REQ-RAG-06</t>
        </is>
      </c>
      <c r="B70" s="11" t="inlineStr">
        <is>
          <t>P0</t>
        </is>
      </c>
      <c r="C70" s="11" t="inlineStr">
        <is>
          <t>S5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 ht="38" customHeight="1">
      <c r="A71" s="11" t="inlineStr">
        <is>
          <t>REQ-RAG-07</t>
        </is>
      </c>
      <c r="B71" s="11" t="inlineStr">
        <is>
          <t>P1</t>
        </is>
      </c>
      <c r="C71" s="11" t="inlineStr">
        <is>
          <t>S5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 ht="38" customHeight="1">
      <c r="A72" s="11" t="inlineStr">
        <is>
          <t>NFR-PERF-01</t>
        </is>
      </c>
      <c r="B72" s="11" t="inlineStr">
        <is>
          <t>P0</t>
        </is>
      </c>
      <c r="C72" s="11" t="inlineStr">
        <is>
          <t>S4</t>
        </is>
      </c>
      <c r="D72" s="11" t="inlineStr">
        <is>
          <t>D2-01 §9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TC-NFR-01</t>
        </is>
      </c>
    </row>
    <row r="73" ht="38" customHeight="1">
      <c r="A73" s="11" t="inlineStr">
        <is>
          <t>NFR-PERF-02</t>
        </is>
      </c>
      <c r="B73" s="11" t="inlineStr">
        <is>
          <t>P0</t>
        </is>
      </c>
      <c r="C73" s="11" t="inlineStr">
        <is>
          <t>S4</t>
        </is>
      </c>
      <c r="D73" s="11" t="inlineStr">
        <is>
          <t>R1-02 §3.4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TC-NFR-02、TC-BOOK-04</t>
        </is>
      </c>
    </row>
    <row r="74" ht="38" customHeight="1">
      <c r="A74" s="11" t="inlineStr">
        <is>
          <t>NFR-AVAIL-01</t>
        </is>
      </c>
      <c r="B74" s="11" t="inlineStr">
        <is>
          <t>P0</t>
        </is>
      </c>
      <c r="C74" s="11" t="inlineStr">
        <is>
          <t>S5</t>
        </is>
      </c>
      <c r="D74" s="11" t="inlineStr">
        <is>
          <t>O5-01 §7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TC-NFR-08</t>
        </is>
      </c>
    </row>
    <row r="75" ht="38" customHeight="1">
      <c r="A75" s="11" t="inlineStr">
        <is>
          <t>NFR-SAFE-01</t>
        </is>
      </c>
      <c r="B75" s="11" t="inlineStr">
        <is>
          <t>P0</t>
        </is>
      </c>
      <c r="C75" s="11" t="inlineStr">
        <is>
          <t>S1</t>
        </is>
      </c>
      <c r="D75" s="11" t="inlineStr">
        <is>
          <t>D2-06 §5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TC-NFR-03</t>
        </is>
      </c>
    </row>
    <row r="76" ht="38" customHeight="1">
      <c r="A76" s="11" t="inlineStr">
        <is>
          <t>NFR-SAFE-02</t>
        </is>
      </c>
      <c r="B76" s="11" t="inlineStr">
        <is>
          <t>P0</t>
        </is>
      </c>
      <c r="C76" s="11" t="inlineStr">
        <is>
          <t>S2</t>
        </is>
      </c>
      <c r="D76" s="11" t="inlineStr">
        <is>
          <t>D2-06 §5.2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TC-NFR-03、TC-STAT-04</t>
        </is>
      </c>
    </row>
    <row r="77" ht="38" customHeight="1">
      <c r="A77" s="11" t="inlineStr">
        <is>
          <t>NFR-SAFE-03</t>
        </is>
      </c>
      <c r="B77" s="11" t="inlineStr">
        <is>
          <t>P0</t>
        </is>
      </c>
      <c r="C77" s="11" t="inlineStr">
        <is>
          <t>S2</t>
        </is>
      </c>
      <c r="D77" s="11" t="inlineStr">
        <is>
          <t>D2-06 §3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TC-NFR-03</t>
        </is>
      </c>
    </row>
    <row r="78" ht="38" customHeight="1">
      <c r="A78" s="11" t="inlineStr">
        <is>
          <t>NFR-SAFE-04</t>
        </is>
      </c>
      <c r="B78" s="11" t="inlineStr">
        <is>
          <t>P0</t>
        </is>
      </c>
      <c r="C78" s="11" t="inlineStr">
        <is>
          <t>S4</t>
        </is>
      </c>
      <c r="D78" s="11" t="inlineStr">
        <is>
          <t>D2-06 §5.4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TC-AUTH-06、TC-AUTH-09</t>
        </is>
      </c>
    </row>
    <row r="79" ht="38" customHeight="1">
      <c r="A79" s="11" t="inlineStr">
        <is>
          <t>NFR-COMPAT-01</t>
        </is>
      </c>
      <c r="B79" s="11" t="inlineStr">
        <is>
          <t>P0</t>
        </is>
      </c>
      <c r="C79" s="11" t="inlineStr">
        <is>
          <t>S3</t>
        </is>
      </c>
      <c r="D79" s="11" t="inlineStr">
        <is>
          <t>D2-05 §7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TC-NFR-04</t>
        </is>
      </c>
    </row>
    <row r="80" ht="38" customHeight="1">
      <c r="A80" s="11" t="inlineStr">
        <is>
          <t>NFR-EXT-01</t>
        </is>
      </c>
      <c r="B80" s="11" t="inlineStr">
        <is>
          <t>P1</t>
        </is>
      </c>
      <c r="C80" s="11" t="inlineStr">
        <is>
          <t>S5</t>
        </is>
      </c>
      <c r="D80" s="11" t="inlineStr">
        <is>
          <t>D2-01 §3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TC-NFR-05</t>
        </is>
      </c>
    </row>
    <row r="81" ht="38" customHeight="1">
      <c r="A81" s="11" t="inlineStr">
        <is>
          <t>NFR-MAINT-01</t>
        </is>
      </c>
      <c r="B81" s="11" t="inlineStr">
        <is>
          <t>P0</t>
        </is>
      </c>
      <c r="C81" s="11" t="inlineStr">
        <is>
          <t>S4</t>
        </is>
      </c>
      <c r="D81" s="11" t="inlineStr">
        <is>
          <t>C3-02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TC-NFR-05</t>
        </is>
      </c>
    </row>
    <row r="82" ht="38" customHeight="1">
      <c r="A82" s="11" t="inlineStr">
        <is>
          <t>NFR-UX-01</t>
        </is>
      </c>
      <c r="B82" s="11" t="inlineStr">
        <is>
          <t>P1</t>
        </is>
      </c>
      <c r="C82" s="11" t="inlineStr">
        <is>
          <t>S3</t>
        </is>
      </c>
      <c r="D82" s="11" t="inlineStr">
        <is>
          <t>D2-05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TC-NFR-06</t>
        </is>
      </c>
    </row>
    <row r="83" ht="38" customHeight="1">
      <c r="A83" s="11" t="inlineStr">
        <is>
          <t>NFR-OBS-01</t>
        </is>
      </c>
      <c r="B83" s="11" t="inlineStr">
        <is>
          <t>P1</t>
        </is>
      </c>
      <c r="C83" s="11" t="inlineStr">
        <is>
          <t>S5</t>
        </is>
      </c>
      <c r="D83" s="11" t="inlineStr">
        <is>
          <t>O5-01 §6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TC-NFR-07</t>
        </is>
      </c>
    </row>
  </sheetData>
  <autoFilter ref="A2:G83"/>
  <mergeCells count="1">
    <mergeCell ref="A1:G1"/>
  </mergeCells>
  <conditionalFormatting sqref="B3:B83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I5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12" customWidth="1" min="4" max="4"/>
    <col width="8" customWidth="1" min="5" max="5"/>
    <col width="8" customWidth="1" min="6" max="6"/>
    <col width="8" customWidth="1" min="7" max="7"/>
    <col width="18" customWidth="1" min="8" max="8"/>
    <col width="12" customWidth="1" min="9" max="9"/>
  </cols>
  <sheetData>
    <row r="1" ht="34" customHeight="1">
      <c r="A1" s="9" t="inlineStr">
        <is>
          <t>WBS 与排期 · 15 周执行 + 1 周缓冲（人日为估算，含缓冲）</t>
        </is>
      </c>
    </row>
    <row r="2" ht="30" customHeight="1">
      <c r="A2" s="10" t="inlineStr">
        <is>
          <t>WBS</t>
        </is>
      </c>
      <c r="B2" s="10" t="inlineStr">
        <is>
          <t>工作包</t>
        </is>
      </c>
      <c r="C2" s="10" t="inlineStr">
        <is>
          <t>产出</t>
        </is>
      </c>
      <c r="D2" s="10" t="inlineStr">
        <is>
          <t>负责</t>
        </is>
      </c>
      <c r="E2" s="10" t="inlineStr">
        <is>
          <t>人日</t>
        </is>
      </c>
      <c r="F2" s="10" t="inlineStr">
        <is>
          <t>开始</t>
        </is>
      </c>
      <c r="G2" s="10" t="inlineStr">
        <is>
          <t>结束</t>
        </is>
      </c>
      <c r="H2" s="10" t="inlineStr">
        <is>
          <t>依赖</t>
        </is>
      </c>
      <c r="I2" s="10" t="inlineStr">
        <is>
          <t>状态</t>
        </is>
      </c>
    </row>
    <row r="3" ht="38" customHeight="1">
      <c r="A3" s="11" t="inlineStr">
        <is>
          <t>1</t>
        </is>
      </c>
      <c r="B3" s="11" t="inlineStr">
        <is>
          <t>项目启动与规划</t>
        </is>
      </c>
      <c r="C3" s="11" t="inlineStr">
        <is>
          <t>章程、计划、风险、沟通机制</t>
        </is>
      </c>
      <c r="D3" s="11" t="inlineStr">
        <is>
          <t>P1</t>
        </is>
      </c>
      <c r="E3" s="11" t="n">
        <v>6</v>
      </c>
      <c r="F3" s="11" t="inlineStr">
        <is>
          <t>W1</t>
        </is>
      </c>
      <c r="G3" s="11" t="inlineStr">
        <is>
          <t>W2</t>
        </is>
      </c>
      <c r="H3" s="11" t="inlineStr">
        <is>
          <t>—</t>
        </is>
      </c>
      <c r="I3" s="11" t="inlineStr">
        <is>
          <t>⬜ 未开始</t>
        </is>
      </c>
    </row>
    <row r="4" ht="38" customHeight="1">
      <c r="A4" s="11" t="inlineStr">
        <is>
          <t>1.1</t>
        </is>
      </c>
      <c r="B4" s="11" t="inlineStr">
        <is>
          <t>现状调研与用户访谈</t>
        </is>
      </c>
      <c r="C4" s="11" t="inlineStr">
        <is>
          <t>调研纪要、痛点清单</t>
        </is>
      </c>
      <c r="D4" s="11" t="inlineStr">
        <is>
          <t>P1/P6</t>
        </is>
      </c>
      <c r="E4" s="11" t="n">
        <v>3</v>
      </c>
      <c r="F4" s="11" t="inlineStr">
        <is>
          <t>W1</t>
        </is>
      </c>
      <c r="G4" s="11" t="inlineStr">
        <is>
          <t>W1</t>
        </is>
      </c>
      <c r="H4" s="11" t="inlineStr">
        <is>
          <t>—</t>
        </is>
      </c>
      <c r="I4" s="11" t="inlineStr">
        <is>
          <t>⬜ 未开始</t>
        </is>
      </c>
    </row>
    <row r="5" ht="38" customHeight="1">
      <c r="A5" s="11" t="inlineStr">
        <is>
          <t>1.2</t>
        </is>
      </c>
      <c r="B5" s="11" t="inlineStr">
        <is>
          <t>章程与计划</t>
        </is>
      </c>
      <c r="C5" s="11" t="inlineStr">
        <is>
          <t>P0-01~05</t>
        </is>
      </c>
      <c r="D5" s="11" t="inlineStr">
        <is>
          <t>P1</t>
        </is>
      </c>
      <c r="E5" s="11" t="n">
        <v>3</v>
      </c>
      <c r="F5" s="11" t="inlineStr">
        <is>
          <t>W1</t>
        </is>
      </c>
      <c r="G5" s="11" t="inlineStr">
        <is>
          <t>W2</t>
        </is>
      </c>
      <c r="H5" s="11" t="inlineStr">
        <is>
          <t>1.1</t>
        </is>
      </c>
      <c r="I5" s="11" t="inlineStr">
        <is>
          <t>⬜ 未开始</t>
        </is>
      </c>
    </row>
    <row r="6" ht="38" customHeight="1">
      <c r="A6" s="11" t="inlineStr">
        <is>
          <t>2</t>
        </is>
      </c>
      <c r="B6" s="11" t="inlineStr">
        <is>
          <t>需求与设计（S0）</t>
        </is>
      </c>
      <c r="C6" s="11" t="inlineStr">
        <is>
          <t>SRS、规则、原型、架构、库表、API</t>
        </is>
      </c>
      <c r="D6" s="11" t="inlineStr">
        <is>
          <t>P1/P2/P6</t>
        </is>
      </c>
      <c r="E6" s="11" t="n">
        <v>34</v>
      </c>
      <c r="F6" s="11" t="inlineStr">
        <is>
          <t>W1</t>
        </is>
      </c>
      <c r="G6" s="11" t="inlineStr">
        <is>
          <t>W2</t>
        </is>
      </c>
      <c r="H6" s="11" t="inlineStr">
        <is>
          <t>1</t>
        </is>
      </c>
      <c r="I6" s="11" t="inlineStr">
        <is>
          <t>⬜ 未开始</t>
        </is>
      </c>
    </row>
    <row r="7" ht="38" customHeight="1">
      <c r="A7" s="11" t="inlineStr">
        <is>
          <t>2.1</t>
        </is>
      </c>
      <c r="B7" s="11" t="inlineStr">
        <is>
          <t>需求拆解与评审</t>
        </is>
      </c>
      <c r="C7" s="11" t="inlineStr">
        <is>
          <t>R1-01~05</t>
        </is>
      </c>
      <c r="D7" s="11" t="inlineStr">
        <is>
          <t>P1</t>
        </is>
      </c>
      <c r="E7" s="11" t="n">
        <v>10</v>
      </c>
      <c r="F7" s="11" t="inlineStr">
        <is>
          <t>W1</t>
        </is>
      </c>
      <c r="G7" s="11" t="inlineStr">
        <is>
          <t>W2</t>
        </is>
      </c>
      <c r="H7" s="11" t="inlineStr">
        <is>
          <t>1.1</t>
        </is>
      </c>
      <c r="I7" s="11" t="inlineStr">
        <is>
          <t>⬜ 未开始</t>
        </is>
      </c>
    </row>
    <row r="8" ht="38" customHeight="1">
      <c r="A8" s="11" t="inlineStr">
        <is>
          <t>2.2</t>
        </is>
      </c>
      <c r="B8" s="11" t="inlineStr">
        <is>
          <t>架构与数据设计</t>
        </is>
      </c>
      <c r="C8" s="11" t="inlineStr">
        <is>
          <t>D2-01/03/04</t>
        </is>
      </c>
      <c r="D8" s="11" t="inlineStr">
        <is>
          <t>P2</t>
        </is>
      </c>
      <c r="E8" s="11" t="n">
        <v>10</v>
      </c>
      <c r="F8" s="11" t="inlineStr">
        <is>
          <t>W1</t>
        </is>
      </c>
      <c r="G8" s="11" t="inlineStr">
        <is>
          <t>W2</t>
        </is>
      </c>
      <c r="H8" s="11" t="inlineStr">
        <is>
          <t>2.1</t>
        </is>
      </c>
      <c r="I8" s="11" t="inlineStr">
        <is>
          <t>⬜ 未开始</t>
        </is>
      </c>
    </row>
    <row r="9" ht="38" customHeight="1">
      <c r="A9" s="11" t="inlineStr">
        <is>
          <t>2.3</t>
        </is>
      </c>
      <c r="B9" s="11" t="inlineStr">
        <is>
          <t>UI 原型与规范</t>
        </is>
      </c>
      <c r="C9" s="11" t="inlineStr">
        <is>
          <t>D2-05、可点击原型</t>
        </is>
      </c>
      <c r="D9" s="11" t="inlineStr">
        <is>
          <t>P6</t>
        </is>
      </c>
      <c r="E9" s="11" t="n">
        <v>8</v>
      </c>
      <c r="F9" s="11" t="inlineStr">
        <is>
          <t>W1</t>
        </is>
      </c>
      <c r="G9" s="11" t="inlineStr">
        <is>
          <t>W2</t>
        </is>
      </c>
      <c r="H9" s="11" t="inlineStr">
        <is>
          <t>2.1</t>
        </is>
      </c>
      <c r="I9" s="11" t="inlineStr">
        <is>
          <t>⬜ 未开始</t>
        </is>
      </c>
    </row>
    <row r="10" ht="38" customHeight="1">
      <c r="A10" s="11" t="inlineStr">
        <is>
          <t>2.4</t>
        </is>
      </c>
      <c r="B10" s="11" t="inlineStr">
        <is>
          <t>安全与 RAG 方案</t>
        </is>
      </c>
      <c r="C10" s="11" t="inlineStr">
        <is>
          <t>D2-06/07</t>
        </is>
      </c>
      <c r="D10" s="11" t="inlineStr">
        <is>
          <t>P2</t>
        </is>
      </c>
      <c r="E10" s="11" t="n">
        <v>6</v>
      </c>
      <c r="F10" s="11" t="inlineStr">
        <is>
          <t>W1</t>
        </is>
      </c>
      <c r="G10" s="11" t="inlineStr">
        <is>
          <t>W2</t>
        </is>
      </c>
      <c r="H10" s="11" t="inlineStr">
        <is>
          <t>2.2</t>
        </is>
      </c>
      <c r="I10" s="11" t="inlineStr">
        <is>
          <t>⬜ 未开始</t>
        </is>
      </c>
    </row>
    <row r="11" ht="38" customHeight="1">
      <c r="A11" s="11" t="inlineStr">
        <is>
          <t>3</t>
        </is>
      </c>
      <c r="B11" s="11" t="inlineStr">
        <is>
          <t>工程基建</t>
        </is>
      </c>
      <c r="C11" s="11" t="inlineStr">
        <is>
          <t>仓库、CI、环境、脚手架、规范</t>
        </is>
      </c>
      <c r="D11" s="11" t="inlineStr">
        <is>
          <t>P2/P5</t>
        </is>
      </c>
      <c r="E11" s="11" t="n">
        <v>12</v>
      </c>
      <c r="F11" s="11" t="inlineStr">
        <is>
          <t>W3</t>
        </is>
      </c>
      <c r="G11" s="11" t="inlineStr">
        <is>
          <t>W3</t>
        </is>
      </c>
      <c r="H11" s="11" t="inlineStr">
        <is>
          <t>2</t>
        </is>
      </c>
      <c r="I11" s="11" t="inlineStr">
        <is>
          <t>⬜ 未开始</t>
        </is>
      </c>
    </row>
    <row r="12" ht="38" customHeight="1">
      <c r="A12" s="11" t="inlineStr">
        <is>
          <t>3.1</t>
        </is>
      </c>
      <c r="B12" s="11" t="inlineStr">
        <is>
          <t>Git/分支/CI/代码扫描</t>
        </is>
      </c>
      <c r="C12" s="11" t="inlineStr">
        <is>
          <t>C3-01、流水线</t>
        </is>
      </c>
      <c r="D12" s="11" t="inlineStr">
        <is>
          <t>P2</t>
        </is>
      </c>
      <c r="E12" s="11" t="n">
        <v>5</v>
      </c>
      <c r="F12" s="11" t="inlineStr">
        <is>
          <t>W3</t>
        </is>
      </c>
      <c r="G12" s="11" t="inlineStr">
        <is>
          <t>W3</t>
        </is>
      </c>
      <c r="H12" s="11" t="inlineStr">
        <is>
          <t>2</t>
        </is>
      </c>
      <c r="I12" s="11" t="inlineStr">
        <is>
          <t>⬜ 未开始</t>
        </is>
      </c>
    </row>
    <row r="13" ht="38" customHeight="1">
      <c r="A13" s="11" t="inlineStr">
        <is>
          <t>3.2</t>
        </is>
      </c>
      <c r="B13" s="11" t="inlineStr">
        <is>
          <t>四套环境与种子数据</t>
        </is>
      </c>
      <c r="C13" s="11" t="inlineStr">
        <is>
          <t>C3-03、初始化脚本</t>
        </is>
      </c>
      <c r="D13" s="11" t="inlineStr">
        <is>
          <t>P5</t>
        </is>
      </c>
      <c r="E13" s="11" t="n">
        <v>4</v>
      </c>
      <c r="F13" s="11" t="inlineStr">
        <is>
          <t>W3</t>
        </is>
      </c>
      <c r="G13" s="11" t="inlineStr">
        <is>
          <t>W3</t>
        </is>
      </c>
      <c r="H13" s="11" t="inlineStr">
        <is>
          <t>2</t>
        </is>
      </c>
      <c r="I13" s="11" t="inlineStr">
        <is>
          <t>⬜ 未开始</t>
        </is>
      </c>
    </row>
    <row r="14" ht="38" customHeight="1">
      <c r="A14" s="11" t="inlineStr">
        <is>
          <t>3.3</t>
        </is>
      </c>
      <c r="B14" s="11" t="inlineStr">
        <is>
          <t>前后端脚手架</t>
        </is>
      </c>
      <c r="C14" s="11" t="inlineStr">
        <is>
          <t>可运行空壳</t>
        </is>
      </c>
      <c r="D14" s="11" t="inlineStr">
        <is>
          <t>P2/P3</t>
        </is>
      </c>
      <c r="E14" s="11" t="n">
        <v>3</v>
      </c>
      <c r="F14" s="11" t="inlineStr">
        <is>
          <t>W3</t>
        </is>
      </c>
      <c r="G14" s="11" t="inlineStr">
        <is>
          <t>W3</t>
        </is>
      </c>
      <c r="H14" s="11" t="inlineStr">
        <is>
          <t>3.1</t>
        </is>
      </c>
      <c r="I14" s="11" t="inlineStr">
        <is>
          <t>⬜ 未开始</t>
        </is>
      </c>
    </row>
    <row r="15" ht="38" customHeight="1">
      <c r="A15" s="11" t="inlineStr">
        <is>
          <t>4</t>
        </is>
      </c>
      <c r="B15" s="11" t="inlineStr">
        <is>
          <t>S1 基础信息 + 权限骨架</t>
        </is>
      </c>
      <c r="C15" s="11" t="inlineStr">
        <is>
          <t>农户/资质/设备/场地/登录/RBAC/日志</t>
        </is>
      </c>
      <c r="D15" s="11" t="inlineStr">
        <is>
          <t>P2/P3/P4</t>
        </is>
      </c>
      <c r="E15" s="11" t="n">
        <v>40</v>
      </c>
      <c r="F15" s="11" t="inlineStr">
        <is>
          <t>W3</t>
        </is>
      </c>
      <c r="G15" s="11" t="inlineStr">
        <is>
          <t>W5</t>
        </is>
      </c>
      <c r="H15" s="11" t="inlineStr">
        <is>
          <t>3</t>
        </is>
      </c>
      <c r="I15" s="11" t="inlineStr">
        <is>
          <t>⬜ 未开始</t>
        </is>
      </c>
    </row>
    <row r="16" ht="38" customHeight="1">
      <c r="A16" s="11" t="inlineStr">
        <is>
          <t>4.1</t>
        </is>
      </c>
      <c r="B16" s="11" t="inlineStr">
        <is>
          <t>农户与资质</t>
        </is>
      </c>
      <c r="C16" s="11" t="inlineStr">
        <is>
          <t>建档、脱敏、上传、审核</t>
        </is>
      </c>
      <c r="D16" s="11" t="inlineStr">
        <is>
          <t>P4</t>
        </is>
      </c>
      <c r="E16" s="11" t="n">
        <v>10</v>
      </c>
      <c r="F16" s="11" t="inlineStr">
        <is>
          <t>W3</t>
        </is>
      </c>
      <c r="G16" s="11" t="inlineStr">
        <is>
          <t>W4</t>
        </is>
      </c>
      <c r="H16" s="11" t="inlineStr">
        <is>
          <t>3.3</t>
        </is>
      </c>
      <c r="I16" s="11" t="inlineStr">
        <is>
          <t>⬜ 未开始</t>
        </is>
      </c>
    </row>
    <row r="17" ht="38" customHeight="1">
      <c r="A17" s="11" t="inlineStr">
        <is>
          <t>4.2</t>
        </is>
      </c>
      <c r="B17" s="11" t="inlineStr">
        <is>
          <t>设备与场地</t>
        </is>
      </c>
      <c r="C17" s="11" t="inlineStr">
        <is>
          <t>编号、状态、开放时段、空闲查询</t>
        </is>
      </c>
      <c r="D17" s="11" t="inlineStr">
        <is>
          <t>P4</t>
        </is>
      </c>
      <c r="E17" s="11" t="n">
        <v>8</v>
      </c>
      <c r="F17" s="11" t="inlineStr">
        <is>
          <t>W5</t>
        </is>
      </c>
      <c r="G17" s="11" t="inlineStr">
        <is>
          <t>W5</t>
        </is>
      </c>
      <c r="H17" s="11" t="inlineStr">
        <is>
          <t>4.1</t>
        </is>
      </c>
      <c r="I17" s="11" t="inlineStr">
        <is>
          <t>⬜ 未开始</t>
        </is>
      </c>
    </row>
    <row r="18" ht="38" customHeight="1">
      <c r="A18" s="11" t="inlineStr">
        <is>
          <t>4.3</t>
        </is>
      </c>
      <c r="B18" s="11" t="inlineStr">
        <is>
          <t>登录与 RBAC</t>
        </is>
      </c>
      <c r="C18" s="11" t="inlineStr">
        <is>
          <t>JWT、角色、菜单、拦截器</t>
        </is>
      </c>
      <c r="D18" s="11" t="inlineStr">
        <is>
          <t>P2</t>
        </is>
      </c>
      <c r="E18" s="11" t="n">
        <v>8</v>
      </c>
      <c r="F18" s="11" t="inlineStr">
        <is>
          <t>W4</t>
        </is>
      </c>
      <c r="G18" s="11" t="inlineStr">
        <is>
          <t>W5</t>
        </is>
      </c>
      <c r="H18" s="11" t="inlineStr">
        <is>
          <t>3.3</t>
        </is>
      </c>
      <c r="I18" s="11" t="inlineStr">
        <is>
          <t>⬜ 未开始</t>
        </is>
      </c>
    </row>
    <row r="19" ht="38" customHeight="1">
      <c r="A19" s="11" t="inlineStr">
        <is>
          <t>4.4</t>
        </is>
      </c>
      <c r="B19" s="11" t="inlineStr">
        <is>
          <t>前端页面</t>
        </is>
      </c>
      <c r="C19" s="11" t="inlineStr">
        <is>
          <t>4 个管理页 + 登录</t>
        </is>
      </c>
      <c r="D19" s="11" t="inlineStr">
        <is>
          <t>P3</t>
        </is>
      </c>
      <c r="E19" s="11" t="n">
        <v>10</v>
      </c>
      <c r="F19" s="11" t="inlineStr">
        <is>
          <t>W4</t>
        </is>
      </c>
      <c r="G19" s="11" t="inlineStr">
        <is>
          <t>W5</t>
        </is>
      </c>
      <c r="H19" s="11" t="inlineStr">
        <is>
          <t>4.3</t>
        </is>
      </c>
      <c r="I19" s="11" t="inlineStr">
        <is>
          <t>⬜ 未开始</t>
        </is>
      </c>
    </row>
    <row r="20" ht="38" customHeight="1">
      <c r="A20" s="11" t="inlineStr">
        <is>
          <t>4.5</t>
        </is>
      </c>
      <c r="B20" s="11" t="inlineStr">
        <is>
          <t>单测与联调</t>
        </is>
      </c>
      <c r="C20" s="11" t="inlineStr">
        <is>
          <t>覆盖率 ≥60%</t>
        </is>
      </c>
      <c r="D20" s="11" t="inlineStr">
        <is>
          <t>P2/P4</t>
        </is>
      </c>
      <c r="E20" s="11" t="n">
        <v>4</v>
      </c>
      <c r="F20" s="11" t="inlineStr">
        <is>
          <t>W5</t>
        </is>
      </c>
      <c r="G20" s="11" t="inlineStr">
        <is>
          <t>W5</t>
        </is>
      </c>
      <c r="H20" s="11" t="inlineStr">
        <is>
          <t>4.2/4.4</t>
        </is>
      </c>
      <c r="I20" s="11" t="inlineStr">
        <is>
          <t>⬜ 未开始</t>
        </is>
      </c>
    </row>
    <row r="21" ht="38" customHeight="1">
      <c r="A21" s="11" t="inlineStr">
        <is>
          <t>5</t>
        </is>
      </c>
      <c r="B21" s="11" t="inlineStr">
        <is>
          <t>S2 预约 + 通知</t>
        </is>
      </c>
      <c r="C21" s="11" t="inlineStr">
        <is>
          <t>提交/冲突/审核/驳回/通知框架</t>
        </is>
      </c>
      <c r="D21" s="11" t="inlineStr">
        <is>
          <t>P2/P3/P4/P5</t>
        </is>
      </c>
      <c r="E21" s="11" t="n">
        <v>54</v>
      </c>
      <c r="F21" s="11" t="inlineStr">
        <is>
          <t>W6</t>
        </is>
      </c>
      <c r="G21" s="11" t="inlineStr">
        <is>
          <t>W8</t>
        </is>
      </c>
      <c r="H21" s="11" t="inlineStr">
        <is>
          <t>4</t>
        </is>
      </c>
      <c r="I21" s="11" t="inlineStr">
        <is>
          <t>⬜ 未开始</t>
        </is>
      </c>
    </row>
    <row r="22" ht="38" customHeight="1">
      <c r="A22" s="11" t="inlineStr">
        <is>
          <t>5.1</t>
        </is>
      </c>
      <c r="B22" s="11" t="inlineStr">
        <is>
          <t>预约提交与校验</t>
        </is>
      </c>
      <c r="C22" s="11" t="inlineStr">
        <is>
          <t>时段、冲突、幂等</t>
        </is>
      </c>
      <c r="D22" s="11" t="inlineStr">
        <is>
          <t>P4</t>
        </is>
      </c>
      <c r="E22" s="11" t="n">
        <v>12</v>
      </c>
      <c r="F22" s="11" t="inlineStr">
        <is>
          <t>W6</t>
        </is>
      </c>
      <c r="G22" s="11" t="inlineStr">
        <is>
          <t>W6</t>
        </is>
      </c>
      <c r="H22" s="11" t="inlineStr">
        <is>
          <t>4</t>
        </is>
      </c>
      <c r="I22" s="11" t="inlineStr">
        <is>
          <t>⬜ 未开始</t>
        </is>
      </c>
    </row>
    <row r="23" ht="38" customHeight="1">
      <c r="A23" s="11" t="inlineStr">
        <is>
          <t>5.2</t>
        </is>
      </c>
      <c r="B23" s="11" t="inlineStr">
        <is>
          <t>审核与状态机</t>
        </is>
      </c>
      <c r="C23" s="11" t="inlineStr">
        <is>
          <t>通过/驳回/历史</t>
        </is>
      </c>
      <c r="D23" s="11" t="inlineStr">
        <is>
          <t>P4</t>
        </is>
      </c>
      <c r="E23" s="11" t="n">
        <v>8</v>
      </c>
      <c r="F23" s="11" t="inlineStr">
        <is>
          <t>W7</t>
        </is>
      </c>
      <c r="G23" s="11" t="inlineStr">
        <is>
          <t>W7</t>
        </is>
      </c>
      <c r="H23" s="11" t="inlineStr">
        <is>
          <t>5.1</t>
        </is>
      </c>
      <c r="I23" s="11" t="inlineStr">
        <is>
          <t>⬜ 未开始</t>
        </is>
      </c>
    </row>
    <row r="24" ht="38" customHeight="1">
      <c r="A24" s="11" t="inlineStr">
        <is>
          <t>5.3</t>
        </is>
      </c>
      <c r="B24" s="11" t="inlineStr">
        <is>
          <t>通知框架</t>
        </is>
      </c>
      <c r="C24" s="11" t="inlineStr">
        <is>
          <t>模板、站内、短信适配、重试</t>
        </is>
      </c>
      <c r="D24" s="11" t="inlineStr">
        <is>
          <t>P2</t>
        </is>
      </c>
      <c r="E24" s="11" t="n">
        <v>10</v>
      </c>
      <c r="F24" s="11" t="inlineStr">
        <is>
          <t>W7</t>
        </is>
      </c>
      <c r="G24" s="11" t="inlineStr">
        <is>
          <t>W8</t>
        </is>
      </c>
      <c r="H24" s="11" t="inlineStr">
        <is>
          <t>5.1</t>
        </is>
      </c>
      <c r="I24" s="11" t="inlineStr">
        <is>
          <t>⬜ 未开始</t>
        </is>
      </c>
    </row>
    <row r="25" ht="38" customHeight="1">
      <c r="A25" s="11" t="inlineStr">
        <is>
          <t>5.4</t>
        </is>
      </c>
      <c r="B25" s="11" t="inlineStr">
        <is>
          <t>前端页面</t>
        </is>
      </c>
      <c r="C25" s="11" t="inlineStr">
        <is>
          <t>预约表单、审核列表、通知中心</t>
        </is>
      </c>
      <c r="D25" s="11" t="inlineStr">
        <is>
          <t>P3</t>
        </is>
      </c>
      <c r="E25" s="11" t="n">
        <v>12</v>
      </c>
      <c r="F25" s="11" t="inlineStr">
        <is>
          <t>W6</t>
        </is>
      </c>
      <c r="G25" s="11" t="inlineStr">
        <is>
          <t>W8</t>
        </is>
      </c>
      <c r="H25" s="11" t="inlineStr">
        <is>
          <t>5.1</t>
        </is>
      </c>
      <c r="I25" s="11" t="inlineStr">
        <is>
          <t>⬜ 未开始</t>
        </is>
      </c>
    </row>
    <row r="26" ht="38" customHeight="1">
      <c r="A26" s="11" t="inlineStr">
        <is>
          <t>5.5</t>
        </is>
      </c>
      <c r="B26" s="11" t="inlineStr">
        <is>
          <t>测试</t>
        </is>
      </c>
      <c r="C26" s="11" t="inlineStr">
        <is>
          <t>冲突/审核/通知用例</t>
        </is>
      </c>
      <c r="D26" s="11" t="inlineStr">
        <is>
          <t>P5</t>
        </is>
      </c>
      <c r="E26" s="11" t="n">
        <v>8</v>
      </c>
      <c r="F26" s="11" t="inlineStr">
        <is>
          <t>W7</t>
        </is>
      </c>
      <c r="G26" s="11" t="inlineStr">
        <is>
          <t>W8</t>
        </is>
      </c>
      <c r="H26" s="11" t="inlineStr">
        <is>
          <t>5.2</t>
        </is>
      </c>
      <c r="I26" s="11" t="inlineStr">
        <is>
          <t>⬜ 未开始</t>
        </is>
      </c>
    </row>
    <row r="27" ht="38" customHeight="1">
      <c r="A27" s="11" t="inlineStr">
        <is>
          <t>5.6</t>
        </is>
      </c>
      <c r="B27" s="11" t="inlineStr">
        <is>
          <t>联调与缺陷</t>
        </is>
      </c>
      <c r="C27" s="11" t="inlineStr">
        <is>
          <t>端到端跑通</t>
        </is>
      </c>
      <c r="D27" s="11" t="inlineStr">
        <is>
          <t>P4/P3</t>
        </is>
      </c>
      <c r="E27" s="11" t="n">
        <v>4</v>
      </c>
      <c r="F27" s="11" t="inlineStr">
        <is>
          <t>W8</t>
        </is>
      </c>
      <c r="G27" s="11" t="inlineStr">
        <is>
          <t>W8</t>
        </is>
      </c>
      <c r="H27" s="11" t="inlineStr">
        <is>
          <t>5.4/5.5</t>
        </is>
      </c>
      <c r="I27" s="11" t="inlineStr">
        <is>
          <t>⬜ 未开始</t>
        </is>
      </c>
    </row>
    <row r="28" ht="38" customHeight="1">
      <c r="A28" s="11" t="inlineStr">
        <is>
          <t>6</t>
        </is>
      </c>
      <c r="B28" s="11" t="inlineStr">
        <is>
          <t>S3 调整 + 排队 + 候补</t>
        </is>
      </c>
      <c r="C28" s="11" t="inlineStr">
        <is>
          <t>12h 调整、FIFO 队列、候补、冷却</t>
        </is>
      </c>
      <c r="D28" s="11" t="inlineStr">
        <is>
          <t>P2/P3/P4/P5</t>
        </is>
      </c>
      <c r="E28" s="11" t="n">
        <v>60</v>
      </c>
      <c r="F28" s="11" t="inlineStr">
        <is>
          <t>W9</t>
        </is>
      </c>
      <c r="G28" s="11" t="inlineStr">
        <is>
          <t>W11</t>
        </is>
      </c>
      <c r="H28" s="11" t="inlineStr">
        <is>
          <t>5</t>
        </is>
      </c>
      <c r="I28" s="11" t="inlineStr">
        <is>
          <t>⬜ 未开始</t>
        </is>
      </c>
    </row>
    <row r="29" ht="38" customHeight="1">
      <c r="A29" s="11" t="inlineStr">
        <is>
          <t>6.1</t>
        </is>
      </c>
      <c r="B29" s="11" t="inlineStr">
        <is>
          <t>调整与取消</t>
        </is>
      </c>
      <c r="C29" s="11" t="inlineStr">
        <is>
          <t>审批、资源换绑、候补触发</t>
        </is>
      </c>
      <c r="D29" s="11" t="inlineStr">
        <is>
          <t>P4</t>
        </is>
      </c>
      <c r="E29" s="11" t="n">
        <v>10</v>
      </c>
      <c r="F29" s="11" t="inlineStr">
        <is>
          <t>W9</t>
        </is>
      </c>
      <c r="G29" s="11" t="inlineStr">
        <is>
          <t>W9</t>
        </is>
      </c>
      <c r="H29" s="11" t="inlineStr">
        <is>
          <t>5.2</t>
        </is>
      </c>
      <c r="I29" s="11" t="inlineStr">
        <is>
          <t>⬜ 未开始</t>
        </is>
      </c>
    </row>
    <row r="30" ht="38" customHeight="1">
      <c r="A30" s="11" t="inlineStr">
        <is>
          <t>6.2</t>
        </is>
      </c>
      <c r="B30" s="11" t="inlineStr">
        <is>
          <t>排队与顺位</t>
        </is>
      </c>
      <c r="C30" s="11" t="inlineStr">
        <is>
          <t>排队号、ZSET、顺位、重复/冷却</t>
        </is>
      </c>
      <c r="D30" s="11" t="inlineStr">
        <is>
          <t>P2/P4</t>
        </is>
      </c>
      <c r="E30" s="11" t="n">
        <v>14</v>
      </c>
      <c r="F30" s="11" t="inlineStr">
        <is>
          <t>W10</t>
        </is>
      </c>
      <c r="G30" s="11" t="inlineStr">
        <is>
          <t>W10</t>
        </is>
      </c>
      <c r="H30" s="11" t="inlineStr">
        <is>
          <t>6.1</t>
        </is>
      </c>
      <c r="I30" s="11" t="inlineStr">
        <is>
          <t>⬜ 未开始</t>
        </is>
      </c>
    </row>
    <row r="31" ht="38" customHeight="1">
      <c r="A31" s="11" t="inlineStr">
        <is>
          <t>6.3</t>
        </is>
      </c>
      <c r="B31" s="11" t="inlineStr">
        <is>
          <t>候补</t>
        </is>
      </c>
      <c r="C31" s="11" t="inlineStr">
        <is>
          <t>offer、TTL、确认/放弃/超时</t>
        </is>
      </c>
      <c r="D31" s="11" t="inlineStr">
        <is>
          <t>P4</t>
        </is>
      </c>
      <c r="E31" s="11" t="n">
        <v>10</v>
      </c>
      <c r="F31" s="11" t="inlineStr">
        <is>
          <t>W10</t>
        </is>
      </c>
      <c r="G31" s="11" t="inlineStr">
        <is>
          <t>W11</t>
        </is>
      </c>
      <c r="H31" s="11" t="inlineStr">
        <is>
          <t>6.2</t>
        </is>
      </c>
      <c r="I31" s="11" t="inlineStr">
        <is>
          <t>⬜ 未开始</t>
        </is>
      </c>
    </row>
    <row r="32" ht="38" customHeight="1">
      <c r="A32" s="11" t="inlineStr">
        <is>
          <t>6.4</t>
        </is>
      </c>
      <c r="B32" s="11" t="inlineStr">
        <is>
          <t>前端</t>
        </is>
      </c>
      <c r="C32" s="11" t="inlineStr">
        <is>
          <t>排队状态页、候补弹窗</t>
        </is>
      </c>
      <c r="D32" s="11" t="inlineStr">
        <is>
          <t>P3</t>
        </is>
      </c>
      <c r="E32" s="11" t="n">
        <v>12</v>
      </c>
      <c r="F32" s="11" t="inlineStr">
        <is>
          <t>W10</t>
        </is>
      </c>
      <c r="G32" s="11" t="inlineStr">
        <is>
          <t>W11</t>
        </is>
      </c>
      <c r="H32" s="11" t="inlineStr">
        <is>
          <t>6.2</t>
        </is>
      </c>
      <c r="I32" s="11" t="inlineStr">
        <is>
          <t>⬜ 未开始</t>
        </is>
      </c>
    </row>
    <row r="33" ht="38" customHeight="1">
      <c r="A33" s="11" t="inlineStr">
        <is>
          <t>6.5</t>
        </is>
      </c>
      <c r="B33" s="11" t="inlineStr">
        <is>
          <t>并发与流程测试</t>
        </is>
      </c>
      <c r="C33" s="11" t="inlineStr">
        <is>
          <t>50/100 并发、全流程</t>
        </is>
      </c>
      <c r="D33" s="11" t="inlineStr">
        <is>
          <t>P5</t>
        </is>
      </c>
      <c r="E33" s="11" t="n">
        <v>10</v>
      </c>
      <c r="F33" s="11" t="inlineStr">
        <is>
          <t>W11</t>
        </is>
      </c>
      <c r="G33" s="11" t="inlineStr">
        <is>
          <t>W11</t>
        </is>
      </c>
      <c r="H33" s="11" t="inlineStr">
        <is>
          <t>6.3</t>
        </is>
      </c>
      <c r="I33" s="11" t="inlineStr">
        <is>
          <t>⬜ 未开始</t>
        </is>
      </c>
    </row>
    <row r="34" ht="38" customHeight="1">
      <c r="A34" s="11" t="inlineStr">
        <is>
          <t>6.6</t>
        </is>
      </c>
      <c r="B34" s="11" t="inlineStr">
        <is>
          <t>联调与缺陷</t>
        </is>
      </c>
      <c r="C34" s="11" t="inlineStr">
        <is>
          <t>—</t>
        </is>
      </c>
      <c r="D34" s="11" t="inlineStr">
        <is>
          <t>P2/P4</t>
        </is>
      </c>
      <c r="E34" s="11" t="n">
        <v>4</v>
      </c>
      <c r="F34" s="11" t="inlineStr">
        <is>
          <t>W11</t>
        </is>
      </c>
      <c r="G34" s="11" t="inlineStr">
        <is>
          <t>W11</t>
        </is>
      </c>
      <c r="H34" s="11" t="inlineStr">
        <is>
          <t>6.4/6.5</t>
        </is>
      </c>
      <c r="I34" s="11" t="inlineStr">
        <is>
          <t>⬜ 未开始</t>
        </is>
      </c>
    </row>
    <row r="35" ht="38" customHeight="1">
      <c r="A35" s="11" t="inlineStr">
        <is>
          <t>7</t>
        </is>
      </c>
      <c r="B35" s="11" t="inlineStr">
        <is>
          <t>S4 统计 + 审计</t>
        </is>
      </c>
      <c r="C35" s="11" t="inlineStr">
        <is>
          <t>指标、趋势、导出、日志、二次验证</t>
        </is>
      </c>
      <c r="D35" s="11" t="inlineStr">
        <is>
          <t>P2/P3/P4/P5</t>
        </is>
      </c>
      <c r="E35" s="11" t="n">
        <v>48</v>
      </c>
      <c r="F35" s="11" t="inlineStr">
        <is>
          <t>W12</t>
        </is>
      </c>
      <c r="G35" s="11" t="inlineStr">
        <is>
          <t>W13</t>
        </is>
      </c>
      <c r="H35" s="11" t="inlineStr">
        <is>
          <t>6</t>
        </is>
      </c>
      <c r="I35" s="11" t="inlineStr">
        <is>
          <t>⬜ 未开始</t>
        </is>
      </c>
    </row>
    <row r="36" ht="38" customHeight="1">
      <c r="A36" s="11" t="inlineStr">
        <is>
          <t>7.1</t>
        </is>
      </c>
      <c r="B36" s="11" t="inlineStr">
        <is>
          <t>统计服务</t>
        </is>
      </c>
      <c r="C36" s="11" t="inlineStr">
        <is>
          <t>4 指标、筛选、日报、对账</t>
        </is>
      </c>
      <c r="D36" s="11" t="inlineStr">
        <is>
          <t>P4</t>
        </is>
      </c>
      <c r="E36" s="11" t="n">
        <v>12</v>
      </c>
      <c r="F36" s="11" t="inlineStr">
        <is>
          <t>W12</t>
        </is>
      </c>
      <c r="G36" s="11" t="inlineStr">
        <is>
          <t>W13</t>
        </is>
      </c>
      <c r="H36" s="11" t="inlineStr">
        <is>
          <t>6</t>
        </is>
      </c>
      <c r="I36" s="11" t="inlineStr">
        <is>
          <t>⬜ 未开始</t>
        </is>
      </c>
    </row>
    <row r="37" ht="38" customHeight="1">
      <c r="A37" s="11" t="inlineStr">
        <is>
          <t>7.2</t>
        </is>
      </c>
      <c r="B37" s="11" t="inlineStr">
        <is>
          <t>导出</t>
        </is>
      </c>
      <c r="C37" s="11" t="inlineStr">
        <is>
          <t>Excel/PDF 异步任务</t>
        </is>
      </c>
      <c r="D37" s="11" t="inlineStr">
        <is>
          <t>P4</t>
        </is>
      </c>
      <c r="E37" s="11" t="n">
        <v>6</v>
      </c>
      <c r="F37" s="11" t="inlineStr">
        <is>
          <t>W13</t>
        </is>
      </c>
      <c r="G37" s="11" t="inlineStr">
        <is>
          <t>W13</t>
        </is>
      </c>
      <c r="H37" s="11" t="inlineStr">
        <is>
          <t>7.1</t>
        </is>
      </c>
      <c r="I37" s="11" t="inlineStr">
        <is>
          <t>⬜ 未开始</t>
        </is>
      </c>
    </row>
    <row r="38" ht="38" customHeight="1">
      <c r="A38" s="11" t="inlineStr">
        <is>
          <t>7.3</t>
        </is>
      </c>
      <c r="B38" s="11" t="inlineStr">
        <is>
          <t>权限加固</t>
        </is>
      </c>
      <c r="C38" s="11" t="inlineStr">
        <is>
          <t>数据范围、二次验证、日志查询/哈希链</t>
        </is>
      </c>
      <c r="D38" s="11" t="inlineStr">
        <is>
          <t>P2</t>
        </is>
      </c>
      <c r="E38" s="11" t="n">
        <v>10</v>
      </c>
      <c r="F38" s="11" t="inlineStr">
        <is>
          <t>W12</t>
        </is>
      </c>
      <c r="G38" s="11" t="inlineStr">
        <is>
          <t>W13</t>
        </is>
      </c>
      <c r="H38" s="11" t="inlineStr">
        <is>
          <t>7.1</t>
        </is>
      </c>
      <c r="I38" s="11" t="inlineStr">
        <is>
          <t>⬜ 未开始</t>
        </is>
      </c>
    </row>
    <row r="39" ht="38" customHeight="1">
      <c r="A39" s="11" t="inlineStr">
        <is>
          <t>7.4</t>
        </is>
      </c>
      <c r="B39" s="11" t="inlineStr">
        <is>
          <t>前端</t>
        </is>
      </c>
      <c r="C39" s="11" t="inlineStr">
        <is>
          <t>仪表盘、报表、日志页</t>
        </is>
      </c>
      <c r="D39" s="11" t="inlineStr">
        <is>
          <t>P3</t>
        </is>
      </c>
      <c r="E39" s="11" t="n">
        <v>12</v>
      </c>
      <c r="F39" s="11" t="inlineStr">
        <is>
          <t>W12</t>
        </is>
      </c>
      <c r="G39" s="11" t="inlineStr">
        <is>
          <t>W13</t>
        </is>
      </c>
      <c r="H39" s="11" t="inlineStr">
        <is>
          <t>7.1</t>
        </is>
      </c>
      <c r="I39" s="11" t="inlineStr">
        <is>
          <t>⬜ 未开始</t>
        </is>
      </c>
    </row>
    <row r="40" ht="38" customHeight="1">
      <c r="A40" s="11" t="inlineStr">
        <is>
          <t>7.5</t>
        </is>
      </c>
      <c r="B40" s="11" t="inlineStr">
        <is>
          <t>测试</t>
        </is>
      </c>
      <c r="C40" s="11" t="inlineStr">
        <is>
          <t>口径复算、越权、导出</t>
        </is>
      </c>
      <c r="D40" s="11" t="inlineStr">
        <is>
          <t>P5</t>
        </is>
      </c>
      <c r="E40" s="11" t="n">
        <v>8</v>
      </c>
      <c r="F40" s="11" t="inlineStr">
        <is>
          <t>W13</t>
        </is>
      </c>
      <c r="G40" s="11" t="inlineStr">
        <is>
          <t>W13</t>
        </is>
      </c>
      <c r="H40" s="11" t="inlineStr">
        <is>
          <t>7.1</t>
        </is>
      </c>
      <c r="I40" s="11" t="inlineStr">
        <is>
          <t>⬜ 未开始</t>
        </is>
      </c>
    </row>
    <row r="41" ht="38" customHeight="1">
      <c r="A41" s="11" t="inlineStr">
        <is>
          <t>8</t>
        </is>
      </c>
      <c r="B41" s="11" t="inlineStr">
        <is>
          <t>S5 RAG + 系统加固</t>
        </is>
      </c>
      <c r="C41" s="11" t="inlineStr">
        <is>
          <t>知识库、问答、评测、性能/安全测试</t>
        </is>
      </c>
      <c r="D41" s="11" t="inlineStr">
        <is>
          <t>P2/P4/P5</t>
        </is>
      </c>
      <c r="E41" s="11" t="n">
        <v>44</v>
      </c>
      <c r="F41" s="11" t="inlineStr">
        <is>
          <t>W12</t>
        </is>
      </c>
      <c r="G41" s="11" t="inlineStr">
        <is>
          <t>W14</t>
        </is>
      </c>
      <c r="H41" s="11" t="inlineStr">
        <is>
          <t>7</t>
        </is>
      </c>
      <c r="I41" s="11" t="inlineStr">
        <is>
          <t>⬜ 未开始</t>
        </is>
      </c>
    </row>
    <row r="42" ht="38" customHeight="1">
      <c r="A42" s="11" t="inlineStr">
        <is>
          <t>8.1</t>
        </is>
      </c>
      <c r="B42" s="11" t="inlineStr">
        <is>
          <t>知识库流水线</t>
        </is>
      </c>
      <c r="C42" s="11" t="inlineStr">
        <is>
          <t>上传、解析、切分、向量化</t>
        </is>
      </c>
      <c r="D42" s="11" t="inlineStr">
        <is>
          <t>P4</t>
        </is>
      </c>
      <c r="E42" s="11" t="n">
        <v>10</v>
      </c>
      <c r="F42" s="11" t="inlineStr">
        <is>
          <t>W12</t>
        </is>
      </c>
      <c r="G42" s="11" t="inlineStr">
        <is>
          <t>W13</t>
        </is>
      </c>
      <c r="H42" s="11" t="inlineStr">
        <is>
          <t>7</t>
        </is>
      </c>
      <c r="I42" s="11" t="inlineStr">
        <is>
          <t>⬜ 未开始</t>
        </is>
      </c>
    </row>
    <row r="43" ht="38" customHeight="1">
      <c r="A43" s="11" t="inlineStr">
        <is>
          <t>8.2</t>
        </is>
      </c>
      <c r="B43" s="11" t="inlineStr">
        <is>
          <t>问答与兜底</t>
        </is>
      </c>
      <c r="C43" s="11" t="inlineStr">
        <is>
          <t>检索、引用、拒答、转人工</t>
        </is>
      </c>
      <c r="D43" s="11" t="inlineStr">
        <is>
          <t>P4</t>
        </is>
      </c>
      <c r="E43" s="11" t="n">
        <v>10</v>
      </c>
      <c r="F43" s="11" t="inlineStr">
        <is>
          <t>W13</t>
        </is>
      </c>
      <c r="G43" s="11" t="inlineStr">
        <is>
          <t>W14</t>
        </is>
      </c>
      <c r="H43" s="11" t="inlineStr">
        <is>
          <t>8.1</t>
        </is>
      </c>
      <c r="I43" s="11" t="inlineStr">
        <is>
          <t>⬜ 未开始</t>
        </is>
      </c>
    </row>
    <row r="44" ht="38" customHeight="1">
      <c r="A44" s="11" t="inlineStr">
        <is>
          <t>8.3</t>
        </is>
      </c>
      <c r="B44" s="11" t="inlineStr">
        <is>
          <t>评测集与调优</t>
        </is>
      </c>
      <c r="C44" s="11" t="inlineStr">
        <is>
          <t>50 题、指标、回归</t>
        </is>
      </c>
      <c r="D44" s="11" t="inlineStr">
        <is>
          <t>P2/P4</t>
        </is>
      </c>
      <c r="E44" s="11" t="n">
        <v>8</v>
      </c>
      <c r="F44" s="11" t="inlineStr">
        <is>
          <t>W14</t>
        </is>
      </c>
      <c r="G44" s="11" t="inlineStr">
        <is>
          <t>W14</t>
        </is>
      </c>
      <c r="H44" s="11" t="inlineStr">
        <is>
          <t>8.2</t>
        </is>
      </c>
      <c r="I44" s="11" t="inlineStr">
        <is>
          <t>⬜ 未开始</t>
        </is>
      </c>
    </row>
    <row r="45" ht="38" customHeight="1">
      <c r="A45" s="11" t="inlineStr">
        <is>
          <t>8.4</t>
        </is>
      </c>
      <c r="B45" s="11" t="inlineStr">
        <is>
          <t>性能与安全</t>
        </is>
      </c>
      <c r="C45" s="11" t="inlineStr">
        <is>
          <t>压测、ZAP、越权、注入</t>
        </is>
      </c>
      <c r="D45" s="11" t="inlineStr">
        <is>
          <t>P5</t>
        </is>
      </c>
      <c r="E45" s="11" t="n">
        <v>10</v>
      </c>
      <c r="F45" s="11" t="inlineStr">
        <is>
          <t>W13</t>
        </is>
      </c>
      <c r="G45" s="11" t="inlineStr">
        <is>
          <t>W14</t>
        </is>
      </c>
      <c r="H45" s="11" t="inlineStr">
        <is>
          <t>7.5/8.2</t>
        </is>
      </c>
      <c r="I45" s="11" t="inlineStr">
        <is>
          <t>⬜ 未开始</t>
        </is>
      </c>
    </row>
    <row r="46" ht="38" customHeight="1">
      <c r="A46" s="11" t="inlineStr">
        <is>
          <t>8.5</t>
        </is>
      </c>
      <c r="B46" s="11" t="inlineStr">
        <is>
          <t>缺陷修复</t>
        </is>
      </c>
      <c r="C46" s="11" t="inlineStr">
        <is>
          <t>—</t>
        </is>
      </c>
      <c r="D46" s="11" t="inlineStr">
        <is>
          <t>全员</t>
        </is>
      </c>
      <c r="E46" s="11" t="n">
        <v>6</v>
      </c>
      <c r="F46" s="11" t="inlineStr">
        <is>
          <t>W14</t>
        </is>
      </c>
      <c r="G46" s="11" t="inlineStr">
        <is>
          <t>W14</t>
        </is>
      </c>
      <c r="H46" s="11" t="inlineStr">
        <is>
          <t>8.4</t>
        </is>
      </c>
      <c r="I46" s="11" t="inlineStr">
        <is>
          <t>⬜ 未开始</t>
        </is>
      </c>
    </row>
    <row r="47" ht="38" customHeight="1">
      <c r="A47" s="11" t="inlineStr">
        <is>
          <t>9</t>
        </is>
      </c>
      <c r="B47" s="11" t="inlineStr">
        <is>
          <t>交付</t>
        </is>
      </c>
      <c r="C47" s="11" t="inlineStr">
        <is>
          <t>部署、UAT、文档、答辩</t>
        </is>
      </c>
      <c r="D47" s="11" t="inlineStr">
        <is>
          <t>全员</t>
        </is>
      </c>
      <c r="E47" s="11" t="n">
        <v>30</v>
      </c>
      <c r="F47" s="11" t="inlineStr">
        <is>
          <t>W15</t>
        </is>
      </c>
      <c r="G47" s="11" t="inlineStr">
        <is>
          <t>W16</t>
        </is>
      </c>
      <c r="H47" s="11" t="inlineStr">
        <is>
          <t>8</t>
        </is>
      </c>
      <c r="I47" s="11" t="inlineStr">
        <is>
          <t>⬜ 未开始</t>
        </is>
      </c>
    </row>
    <row r="48" ht="38" customHeight="1">
      <c r="A48" s="11" t="inlineStr">
        <is>
          <t>9.1</t>
        </is>
      </c>
      <c r="B48" s="11" t="inlineStr">
        <is>
          <t>生产部署与备份演练</t>
        </is>
      </c>
      <c r="C48" s="11" t="inlineStr">
        <is>
          <t>O5-01、恢复演练</t>
        </is>
      </c>
      <c r="D48" s="11" t="inlineStr">
        <is>
          <t>P5</t>
        </is>
      </c>
      <c r="E48" s="11" t="n">
        <v>8</v>
      </c>
      <c r="F48" s="11" t="inlineStr">
        <is>
          <t>W15</t>
        </is>
      </c>
      <c r="G48" s="11" t="inlineStr">
        <is>
          <t>W15</t>
        </is>
      </c>
      <c r="H48" s="11" t="inlineStr">
        <is>
          <t>8.5</t>
        </is>
      </c>
      <c r="I48" s="11" t="inlineStr">
        <is>
          <t>⬜ 未开始</t>
        </is>
      </c>
    </row>
    <row r="49" ht="38" customHeight="1">
      <c r="A49" s="11" t="inlineStr">
        <is>
          <t>9.2</t>
        </is>
      </c>
      <c r="B49" s="11" t="inlineStr">
        <is>
          <t>UAT 与优化</t>
        </is>
      </c>
      <c r="C49" s="11" t="inlineStr">
        <is>
          <t>6 人测试、改进项</t>
        </is>
      </c>
      <c r="D49" s="11" t="inlineStr">
        <is>
          <t>P1/P5</t>
        </is>
      </c>
      <c r="E49" s="11" t="n">
        <v>6</v>
      </c>
      <c r="F49" s="11" t="inlineStr">
        <is>
          <t>W15</t>
        </is>
      </c>
      <c r="G49" s="11" t="inlineStr">
        <is>
          <t>W15</t>
        </is>
      </c>
      <c r="H49" s="11" t="inlineStr">
        <is>
          <t>9.1</t>
        </is>
      </c>
      <c r="I49" s="11" t="inlineStr">
        <is>
          <t>⬜ 未开始</t>
        </is>
      </c>
    </row>
    <row r="50" ht="38" customHeight="1">
      <c r="A50" s="11" t="inlineStr">
        <is>
          <t>9.3</t>
        </is>
      </c>
      <c r="B50" s="11" t="inlineStr">
        <is>
          <t>文档归档</t>
        </is>
      </c>
      <c r="C50" s="11" t="inlineStr">
        <is>
          <t>27 份文档 + 知识库维护文档</t>
        </is>
      </c>
      <c r="D50" s="11" t="inlineStr">
        <is>
          <t>P6</t>
        </is>
      </c>
      <c r="E50" s="11" t="n">
        <v>8</v>
      </c>
      <c r="F50" s="11" t="inlineStr">
        <is>
          <t>W15</t>
        </is>
      </c>
      <c r="G50" s="11" t="inlineStr">
        <is>
          <t>W15</t>
        </is>
      </c>
      <c r="H50" s="11" t="inlineStr">
        <is>
          <t>8.5</t>
        </is>
      </c>
      <c r="I50" s="11" t="inlineStr">
        <is>
          <t>⬜ 未开始</t>
        </is>
      </c>
    </row>
    <row r="51" ht="38" customHeight="1">
      <c r="A51" s="11" t="inlineStr">
        <is>
          <t>9.4</t>
        </is>
      </c>
      <c r="B51" s="11" t="inlineStr">
        <is>
          <t>演示与答辩</t>
        </is>
      </c>
      <c r="C51" s="11" t="inlineStr">
        <is>
          <t>脚本、PPT、两次彩排</t>
        </is>
      </c>
      <c r="D51" s="11" t="inlineStr">
        <is>
          <t>P1/P6</t>
        </is>
      </c>
      <c r="E51" s="11" t="n">
        <v>8</v>
      </c>
      <c r="F51" s="11" t="inlineStr">
        <is>
          <t>W15</t>
        </is>
      </c>
      <c r="G51" s="11" t="inlineStr">
        <is>
          <t>W16</t>
        </is>
      </c>
      <c r="H51" s="11" t="inlineStr">
        <is>
          <t>9.2/9.3</t>
        </is>
      </c>
      <c r="I51" s="11" t="inlineStr">
        <is>
          <t>⬜ 未开始</t>
        </is>
      </c>
    </row>
    <row r="52" ht="38" customHeight="1">
      <c r="A52" s="11" t="inlineStr">
        <is>
          <t>10</t>
        </is>
      </c>
      <c r="B52" s="11" t="inlineStr">
        <is>
          <t>项目管理（贯穿）</t>
        </is>
      </c>
      <c r="C52" s="11" t="inlineStr">
        <is>
          <t>周会、周报、风险、变更、评审</t>
        </is>
      </c>
      <c r="D52" s="11" t="inlineStr">
        <is>
          <t>P1</t>
        </is>
      </c>
      <c r="E52" s="11" t="n">
        <v>26</v>
      </c>
      <c r="F52" s="11" t="inlineStr">
        <is>
          <t>W1</t>
        </is>
      </c>
      <c r="G52" s="11" t="inlineStr">
        <is>
          <t>W16</t>
        </is>
      </c>
      <c r="H52" s="11" t="inlineStr">
        <is>
          <t>—</t>
        </is>
      </c>
      <c r="I52" s="11" t="inlineStr">
        <is>
          <t>⬜ 未开始</t>
        </is>
      </c>
    </row>
  </sheetData>
  <autoFilter ref="A2:I52"/>
  <mergeCells count="1">
    <mergeCell ref="A1:I1"/>
  </mergeCells>
  <dataValidations count="1">
    <dataValidation sqref="I3:I52" showDropDown="0" showInputMessage="0" showErrorMessage="0" allowBlank="1" type="list">
      <formula1>"⬜ 未开始,🔨 开发中,🟡 待测,✅ 已验收,⛔ 阻塞"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6" customWidth="1" min="4" max="4"/>
    <col width="8" customWidth="1" min="5" max="5"/>
    <col width="10" customWidth="1" min="6" max="6"/>
    <col width="12" customWidth="1" min="7" max="7"/>
  </cols>
  <sheetData>
    <row r="1" ht="34" customHeight="1">
      <c r="A1" s="9" t="inlineStr">
        <is>
          <t>里程碑与质量门禁</t>
        </is>
      </c>
    </row>
    <row r="2" ht="30" customHeight="1">
      <c r="A2" s="10" t="inlineStr">
        <is>
          <t>里程碑</t>
        </is>
      </c>
      <c r="B2" s="10" t="inlineStr">
        <is>
          <t>名称</t>
        </is>
      </c>
      <c r="C2" s="10" t="inlineStr">
        <is>
          <t>计划日期</t>
        </is>
      </c>
      <c r="D2" s="10" t="inlineStr">
        <is>
          <t>交付内容</t>
        </is>
      </c>
      <c r="E2" s="10" t="inlineStr">
        <is>
          <t>门禁</t>
        </is>
      </c>
      <c r="F2" s="10" t="inlineStr">
        <is>
          <t>责任人</t>
        </is>
      </c>
      <c r="G2" s="10" t="inlineStr">
        <is>
          <t>状态</t>
        </is>
      </c>
    </row>
    <row r="3" ht="38" customHeight="1">
      <c r="A3" s="11" t="inlineStr">
        <is>
          <t>M0</t>
        </is>
      </c>
      <c r="B3" s="11" t="inlineStr">
        <is>
          <t>项目启动</t>
        </is>
      </c>
      <c r="C3" s="11" t="inlineStr">
        <is>
          <t>2026-10-19</t>
        </is>
      </c>
      <c r="D3" s="11" t="inlineStr">
        <is>
          <t>章程、计划、团队就位</t>
        </is>
      </c>
      <c r="E3" s="11" t="inlineStr">
        <is>
          <t>G0</t>
        </is>
      </c>
      <c r="F3" s="11" t="inlineStr">
        <is>
          <t>P1</t>
        </is>
      </c>
      <c r="G3" s="11" t="inlineStr">
        <is>
          <t>⬜ 未开始</t>
        </is>
      </c>
    </row>
    <row r="4" ht="38" customHeight="1">
      <c r="A4" s="11" t="inlineStr">
        <is>
          <t>M1</t>
        </is>
      </c>
      <c r="B4" s="11" t="inlineStr">
        <is>
          <t>需求设计基线</t>
        </is>
      </c>
      <c r="C4" s="11" t="inlineStr">
        <is>
          <t>2026-10-30</t>
        </is>
      </c>
      <c r="D4" s="11" t="inlineStr">
        <is>
          <t>SRS、架构、库表、原型、API 契约</t>
        </is>
      </c>
      <c r="E4" s="11" t="inlineStr">
        <is>
          <t>G1</t>
        </is>
      </c>
      <c r="F4" s="11" t="inlineStr">
        <is>
          <t>P1/P2</t>
        </is>
      </c>
      <c r="G4" s="11" t="inlineStr">
        <is>
          <t>⬜ 未开始</t>
        </is>
      </c>
    </row>
    <row r="5" ht="38" customHeight="1">
      <c r="A5" s="11" t="inlineStr">
        <is>
          <t>M2</t>
        </is>
      </c>
      <c r="B5" s="11" t="inlineStr">
        <is>
          <t>地基可用</t>
        </is>
      </c>
      <c r="C5" s="11" t="inlineStr">
        <is>
          <t>2026-11-20</t>
        </is>
      </c>
      <c r="D5" s="11" t="inlineStr">
        <is>
          <t>登录、农户/设备/场地、权限骨架</t>
        </is>
      </c>
      <c r="E5" s="11" t="inlineStr">
        <is>
          <t>G3</t>
        </is>
      </c>
      <c r="F5" s="11" t="inlineStr">
        <is>
          <t>P1/P2</t>
        </is>
      </c>
      <c r="G5" s="11" t="inlineStr">
        <is>
          <t>⬜ 未开始</t>
        </is>
      </c>
    </row>
    <row r="6" ht="38" customHeight="1">
      <c r="A6" s="11" t="inlineStr">
        <is>
          <t>M3</t>
        </is>
      </c>
      <c r="B6" s="11" t="inlineStr">
        <is>
          <t>预约闭环</t>
        </is>
      </c>
      <c r="C6" s="11" t="inlineStr">
        <is>
          <t>2026-12-11</t>
        </is>
      </c>
      <c r="D6" s="11" t="inlineStr">
        <is>
          <t>预约—审核—通知可演示</t>
        </is>
      </c>
      <c r="E6" s="11" t="inlineStr">
        <is>
          <t>G3</t>
        </is>
      </c>
      <c r="F6" s="11" t="inlineStr">
        <is>
          <t>P1/P5</t>
        </is>
      </c>
      <c r="G6" s="11" t="inlineStr">
        <is>
          <t>⬜ 未开始</t>
        </is>
      </c>
    </row>
    <row r="7" ht="38" customHeight="1">
      <c r="A7" s="11" t="inlineStr">
        <is>
          <t>M4</t>
        </is>
      </c>
      <c r="B7" s="11" t="inlineStr">
        <is>
          <t>排队闭环</t>
        </is>
      </c>
      <c r="C7" s="11" t="inlineStr">
        <is>
          <t>2027-01-01</t>
        </is>
      </c>
      <c r="D7" s="11" t="inlineStr">
        <is>
          <t>排队—候补—冷却可演示</t>
        </is>
      </c>
      <c r="E7" s="11" t="inlineStr">
        <is>
          <t>G3</t>
        </is>
      </c>
      <c r="F7" s="11" t="inlineStr">
        <is>
          <t>P1/P5</t>
        </is>
      </c>
      <c r="G7" s="11" t="inlineStr">
        <is>
          <t>⬜ 未开始</t>
        </is>
      </c>
    </row>
    <row r="8" ht="38" customHeight="1">
      <c r="A8" s="11" t="inlineStr">
        <is>
          <t>M5</t>
        </is>
      </c>
      <c r="B8" s="11" t="inlineStr">
        <is>
          <t>统计与审计</t>
        </is>
      </c>
      <c r="C8" s="11" t="inlineStr">
        <is>
          <t>2027-01-15</t>
        </is>
      </c>
      <c r="D8" s="11" t="inlineStr">
        <is>
          <t>报表、日志、二次验证</t>
        </is>
      </c>
      <c r="E8" s="11" t="inlineStr">
        <is>
          <t>G3</t>
        </is>
      </c>
      <c r="F8" s="11" t="inlineStr">
        <is>
          <t>P1/P2</t>
        </is>
      </c>
      <c r="G8" s="11" t="inlineStr">
        <is>
          <t>⬜ 未开始</t>
        </is>
      </c>
    </row>
    <row r="9" ht="38" customHeight="1">
      <c r="A9" s="11" t="inlineStr">
        <is>
          <t>M6</t>
        </is>
      </c>
      <c r="B9" s="11" t="inlineStr">
        <is>
          <t>RAG 与加固</t>
        </is>
      </c>
      <c r="C9" s="11" t="inlineStr">
        <is>
          <t>2027-01-24</t>
        </is>
      </c>
      <c r="D9" s="11" t="inlineStr">
        <is>
          <t>问答达标、性能/安全通过</t>
        </is>
      </c>
      <c r="E9" s="11" t="inlineStr">
        <is>
          <t>G4</t>
        </is>
      </c>
      <c r="F9" s="11" t="inlineStr">
        <is>
          <t>P1/P5</t>
        </is>
      </c>
      <c r="G9" s="11" t="inlineStr">
        <is>
          <t>⬜ 未开始</t>
        </is>
      </c>
    </row>
    <row r="10" ht="38" customHeight="1">
      <c r="A10" s="11" t="inlineStr">
        <is>
          <t>M7</t>
        </is>
      </c>
      <c r="B10" s="11" t="inlineStr">
        <is>
          <t>交付答辩</t>
        </is>
      </c>
      <c r="C10" s="11" t="inlineStr">
        <is>
          <t>2027-01-31</t>
        </is>
      </c>
      <c r="D10" s="11" t="inlineStr">
        <is>
          <t>部署包、文档、演示</t>
        </is>
      </c>
      <c r="E10" s="11" t="inlineStr">
        <is>
          <t>G5</t>
        </is>
      </c>
      <c r="F10" s="11" t="inlineStr">
        <is>
          <t>全员</t>
        </is>
      </c>
      <c r="G10" s="11" t="inlineStr">
        <is>
          <t>⬜ 未开始</t>
        </is>
      </c>
    </row>
  </sheetData>
  <autoFilter ref="A2:G10"/>
  <mergeCells count="1">
    <mergeCell ref="A1:G1"/>
  </mergeCells>
  <dataValidations count="1">
    <dataValidation sqref="G3:G10" showDropDown="0" showInputMessage="0" showErrorMessage="0" allowBlank="1" type="list">
      <formula1>"⬜ 未开始,🔨 开发中,🟡 待测,✅ 已验收,⛔ 阻塞"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K2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6" customWidth="1" min="4" max="4"/>
    <col width="6" customWidth="1" min="5" max="5"/>
    <col width="6" customWidth="1" min="6" max="6"/>
    <col width="8" customWidth="1" min="7" max="7"/>
    <col width="44" customWidth="1" min="8" max="8"/>
    <col width="30" customWidth="1" min="9" max="9"/>
    <col width="8" customWidth="1" min="10" max="10"/>
    <col width="12" customWidth="1" min="11" max="11"/>
  </cols>
  <sheetData>
    <row r="1" ht="34" customHeight="1">
      <c r="A1" s="9" t="inlineStr">
        <is>
          <t>风险登记册 · 分值 = 概率 × 影响（≥15 高，8–14 中，≤7 低）</t>
        </is>
      </c>
    </row>
    <row r="2" ht="30" customHeight="1">
      <c r="A2" s="10" t="inlineStr">
        <is>
          <t>编号</t>
        </is>
      </c>
      <c r="B2" s="10" t="inlineStr">
        <is>
          <t>类别</t>
        </is>
      </c>
      <c r="C2" s="10" t="inlineStr">
        <is>
          <t>风险描述</t>
        </is>
      </c>
      <c r="D2" s="10" t="inlineStr">
        <is>
          <t>概率</t>
        </is>
      </c>
      <c r="E2" s="10" t="inlineStr">
        <is>
          <t>影响</t>
        </is>
      </c>
      <c r="F2" s="10" t="inlineStr">
        <is>
          <t>分值</t>
        </is>
      </c>
      <c r="G2" s="10" t="inlineStr">
        <is>
          <t>等级</t>
        </is>
      </c>
      <c r="H2" s="10" t="inlineStr">
        <is>
          <t>应对策略</t>
        </is>
      </c>
      <c r="I2" s="10" t="inlineStr">
        <is>
          <t>触发信号</t>
        </is>
      </c>
      <c r="J2" s="10" t="inlineStr">
        <is>
          <t>责任人</t>
        </is>
      </c>
      <c r="K2" s="10" t="inlineStr">
        <is>
          <t>状态</t>
        </is>
      </c>
    </row>
    <row r="3" ht="38" customHeight="1">
      <c r="A3" s="11" t="inlineStr">
        <is>
          <t>R01</t>
        </is>
      </c>
      <c r="B3" s="11" t="inlineStr">
        <is>
          <t>需求</t>
        </is>
      </c>
      <c r="C3" s="11" t="inlineStr">
        <is>
          <t>需求理解偏差，交付物与客户预期不符</t>
        </is>
      </c>
      <c r="D3" s="11" t="n">
        <v>4</v>
      </c>
      <c r="E3" s="11" t="n">
        <v>4</v>
      </c>
      <c r="F3" s="11" t="n">
        <v>16</v>
      </c>
      <c r="G3" s="11" t="inlineStr">
        <is>
          <t>🔴 高</t>
        </is>
      </c>
      <c r="H3" s="11" t="inlineStr">
        <is>
          <t>基线+BDD+原型走查+G1签字；每迭代演示</t>
        </is>
      </c>
      <c r="I3" s="11" t="inlineStr">
        <is>
          <t>评审 ≥5 条“这不是我要的”</t>
        </is>
      </c>
      <c r="J3" s="11" t="inlineStr">
        <is>
          <t>P1</t>
        </is>
      </c>
      <c r="K3" s="11" t="inlineStr">
        <is>
          <t>🟡 监控中</t>
        </is>
      </c>
    </row>
    <row r="4" ht="38" customHeight="1">
      <c r="A4" s="11" t="inlineStr">
        <is>
          <t>R02</t>
        </is>
      </c>
      <c r="B4" s="11" t="inlineStr">
        <is>
          <t>技术</t>
        </is>
      </c>
      <c r="C4" s="11" t="inlineStr">
        <is>
          <t>并发预约超卖 / 排队顺位错乱</t>
        </is>
      </c>
      <c r="D4" s="11" t="n">
        <v>3</v>
      </c>
      <c r="E4" s="11" t="n">
        <v>5</v>
      </c>
      <c r="F4" s="11" t="n">
        <v>15</v>
      </c>
      <c r="G4" s="11" t="inlineStr">
        <is>
          <t>🔴 高</t>
        </is>
      </c>
      <c r="H4" s="11" t="inlineStr">
        <is>
          <t>DB 唯一约束裁决 + 100 并发压测 + 代码评审</t>
        </is>
      </c>
      <c r="I4" s="11" t="inlineStr">
        <is>
          <t>压测出现 2 条重叠占用</t>
        </is>
      </c>
      <c r="J4" s="11" t="inlineStr">
        <is>
          <t>P2</t>
        </is>
      </c>
      <c r="K4" s="11" t="inlineStr">
        <is>
          <t>🟡 监控中</t>
        </is>
      </c>
    </row>
    <row r="5" ht="38" customHeight="1">
      <c r="A5" s="11" t="inlineStr">
        <is>
          <t>R03</t>
        </is>
      </c>
      <c r="B5" s="11" t="inlineStr">
        <is>
          <t>进度</t>
        </is>
      </c>
      <c r="C5" s="11" t="inlineStr">
        <is>
          <t>成员课业/考试冲突导致投入不足</t>
        </is>
      </c>
      <c r="D5" s="11" t="n">
        <v>4</v>
      </c>
      <c r="E5" s="11" t="n">
        <v>3</v>
      </c>
      <c r="F5" s="11" t="n">
        <v>12</v>
      </c>
      <c r="G5" s="11" t="inlineStr">
        <is>
          <t>🟡 中</t>
        </is>
      </c>
      <c r="H5" s="11" t="inlineStr">
        <is>
          <t>产能按 60–90% 估算 + W16 缓冲 + 结对备份</t>
        </is>
      </c>
      <c r="I5" s="11" t="inlineStr">
        <is>
          <t>连续 2 周完成率 &lt;70%</t>
        </is>
      </c>
      <c r="J5" s="11" t="inlineStr">
        <is>
          <t>P1</t>
        </is>
      </c>
      <c r="K5" s="11" t="inlineStr">
        <is>
          <t>🟡 监控中</t>
        </is>
      </c>
    </row>
    <row r="6" ht="38" customHeight="1">
      <c r="A6" s="11" t="inlineStr">
        <is>
          <t>R04</t>
        </is>
      </c>
      <c r="B6" s="11" t="inlineStr">
        <is>
          <t>外部</t>
        </is>
      </c>
      <c r="C6" s="11" t="inlineStr">
        <is>
          <t>短信通道无资质/审核不通过</t>
        </is>
      </c>
      <c r="D6" s="11" t="n">
        <v>4</v>
      </c>
      <c r="E6" s="11" t="n">
        <v>3</v>
      </c>
      <c r="F6" s="11" t="n">
        <v>12</v>
      </c>
      <c r="G6" s="11" t="inlineStr">
        <is>
          <t>🟡 中</t>
        </is>
      </c>
      <c r="H6" s="11" t="inlineStr">
        <is>
          <t>开发用模拟网关；生产备选阿里云/腾讯云</t>
        </is>
      </c>
      <c r="I6" s="11" t="inlineStr">
        <is>
          <t>模板报备被拒</t>
        </is>
      </c>
      <c r="J6" s="11" t="inlineStr">
        <is>
          <t>P5</t>
        </is>
      </c>
      <c r="K6" s="11" t="inlineStr">
        <is>
          <t>🟡 监控中</t>
        </is>
      </c>
    </row>
    <row r="7" ht="38" customHeight="1">
      <c r="A7" s="11" t="inlineStr">
        <is>
          <t>R05</t>
        </is>
      </c>
      <c r="B7" s="11" t="inlineStr">
        <is>
          <t>外部</t>
        </is>
      </c>
      <c r="C7" s="11" t="inlineStr">
        <is>
          <t>LLM API 不稳定、限流或涨价</t>
        </is>
      </c>
      <c r="D7" s="11" t="n">
        <v>3</v>
      </c>
      <c r="E7" s="11" t="n">
        <v>3</v>
      </c>
      <c r="F7" s="11" t="n">
        <v>9</v>
      </c>
      <c r="G7" s="11" t="inlineStr">
        <is>
          <t>🟡 中</t>
        </is>
      </c>
      <c r="H7" s="11" t="inlineStr">
        <is>
          <t>多供应商适配 + 本地 Embedding + 缓存 + 降级 FAQ</t>
        </is>
      </c>
      <c r="I7" s="11" t="inlineStr">
        <is>
          <t>连续 3 次超时/429</t>
        </is>
      </c>
      <c r="J7" s="11" t="inlineStr">
        <is>
          <t>P2</t>
        </is>
      </c>
      <c r="K7" s="11" t="inlineStr">
        <is>
          <t>🟡 监控中</t>
        </is>
      </c>
    </row>
    <row r="8" ht="38" customHeight="1">
      <c r="A8" s="11" t="inlineStr">
        <is>
          <t>R06</t>
        </is>
      </c>
      <c r="B8" s="11" t="inlineStr">
        <is>
          <t>安全</t>
        </is>
      </c>
      <c r="C8" s="11" t="inlineStr">
        <is>
          <t>资质/手机号泄露或越权访问</t>
        </is>
      </c>
      <c r="D8" s="11" t="n">
        <v>2</v>
      </c>
      <c r="E8" s="11" t="n">
        <v>5</v>
      </c>
      <c r="F8" s="11" t="n">
        <v>10</v>
      </c>
      <c r="G8" s="11" t="inlineStr">
        <is>
          <t>🟡 中</t>
        </is>
      </c>
      <c r="H8" s="11" t="inlineStr">
        <is>
          <t>加密、脱敏、RBAC、二次验证、渗透测试、审计</t>
        </is>
      </c>
      <c r="I8" s="11" t="inlineStr">
        <is>
          <t>越权用例失败</t>
        </is>
      </c>
      <c r="J8" s="11" t="inlineStr">
        <is>
          <t>P2</t>
        </is>
      </c>
      <c r="K8" s="11" t="inlineStr">
        <is>
          <t>🟡 监控中</t>
        </is>
      </c>
    </row>
    <row r="9" ht="38" customHeight="1">
      <c r="A9" s="11" t="inlineStr">
        <is>
          <t>R07</t>
        </is>
      </c>
      <c r="B9" s="11" t="inlineStr">
        <is>
          <t>合规</t>
        </is>
      </c>
      <c r="C9" s="11" t="inlineStr">
        <is>
          <t>违反《个人信息保护法》（超范围收集/留存）</t>
        </is>
      </c>
      <c r="D9" s="11" t="n">
        <v>2</v>
      </c>
      <c r="E9" s="11" t="n">
        <v>5</v>
      </c>
      <c r="F9" s="11" t="n">
        <v>10</v>
      </c>
      <c r="G9" s="11" t="inlineStr">
        <is>
          <t>🟡 中</t>
        </is>
      </c>
      <c r="H9" s="11" t="inlineStr">
        <is>
          <t>禁存字段 + 最小必要 + 隐私政策 + DPIA + 评审</t>
        </is>
      </c>
      <c r="I9" s="11" t="inlineStr">
        <is>
          <t>需求出现“收集身份证”</t>
        </is>
      </c>
      <c r="J9" s="11" t="inlineStr">
        <is>
          <t>P1</t>
        </is>
      </c>
      <c r="K9" s="11" t="inlineStr">
        <is>
          <t>🟡 监控中</t>
        </is>
      </c>
    </row>
    <row r="10" ht="38" customHeight="1">
      <c r="A10" s="11" t="inlineStr">
        <is>
          <t>R08</t>
        </is>
      </c>
      <c r="B10" s="11" t="inlineStr">
        <is>
          <t>技术</t>
        </is>
      </c>
      <c r="C10" s="11" t="inlineStr">
        <is>
          <t>12h 调整/候补 TTL 边界实现错误</t>
        </is>
      </c>
      <c r="D10" s="11" t="n">
        <v>4</v>
      </c>
      <c r="E10" s="11" t="n">
        <v>3</v>
      </c>
      <c r="F10" s="11" t="n">
        <v>12</v>
      </c>
      <c r="G10" s="11" t="inlineStr">
        <is>
          <t>🟡 中</t>
        </is>
      </c>
      <c r="H10" s="11" t="inlineStr">
        <is>
          <t>边界用例参数化（±1 秒）+ 状态机测试</t>
        </is>
      </c>
      <c r="I10" s="11" t="inlineStr">
        <is>
          <t>边界用例失败</t>
        </is>
      </c>
      <c r="J10" s="11" t="inlineStr">
        <is>
          <t>P5</t>
        </is>
      </c>
      <c r="K10" s="11" t="inlineStr">
        <is>
          <t>🟡 监控中</t>
        </is>
      </c>
    </row>
    <row r="11" ht="38" customHeight="1">
      <c r="A11" s="11" t="inlineStr">
        <is>
          <t>R09</t>
        </is>
      </c>
      <c r="B11" s="11" t="inlineStr">
        <is>
          <t>质量</t>
        </is>
      </c>
      <c r="C11" s="11" t="inlineStr">
        <is>
          <t>测试覆盖不足，“全绿但功能不对”</t>
        </is>
      </c>
      <c r="D11" s="11" t="n">
        <v>3</v>
      </c>
      <c r="E11" s="11" t="n">
        <v>4</v>
      </c>
      <c r="F11" s="11" t="n">
        <v>12</v>
      </c>
      <c r="G11" s="11" t="inlineStr">
        <is>
          <t>🟡 中</t>
        </is>
      </c>
      <c r="H11" s="11" t="inlineStr">
        <is>
          <t>RTM 门禁 + 断言强度审查 + 变异测试抽检</t>
        </is>
      </c>
      <c r="I11" s="11" t="inlineStr">
        <is>
          <t>P0 需求无用例</t>
        </is>
      </c>
      <c r="J11" s="11" t="inlineStr">
        <is>
          <t>P5</t>
        </is>
      </c>
      <c r="K11" s="11" t="inlineStr">
        <is>
          <t>🟡 监控中</t>
        </is>
      </c>
    </row>
    <row r="12" ht="38" customHeight="1">
      <c r="A12" s="11" t="inlineStr">
        <is>
          <t>R10</t>
        </is>
      </c>
      <c r="B12" s="11" t="inlineStr">
        <is>
          <t>技术</t>
        </is>
      </c>
      <c r="C12" s="11" t="inlineStr">
        <is>
          <t>RAG 答非所问/编造政策</t>
        </is>
      </c>
      <c r="D12" s="11" t="n">
        <v>3</v>
      </c>
      <c r="E12" s="11" t="n">
        <v>3</v>
      </c>
      <c r="F12" s="11" t="n">
        <v>9</v>
      </c>
      <c r="G12" s="11" t="inlineStr">
        <is>
          <t>🟡 中</t>
        </is>
      </c>
      <c r="H12" s="11" t="inlineStr">
        <is>
          <t>50 题评测 + 引用强制 + 拒答阈值 + 人工兜底</t>
        </is>
      </c>
      <c r="I12" s="11" t="inlineStr">
        <is>
          <t>正确率 &lt;80%</t>
        </is>
      </c>
      <c r="J12" s="11" t="inlineStr">
        <is>
          <t>P4</t>
        </is>
      </c>
      <c r="K12" s="11" t="inlineStr">
        <is>
          <t>🟡 监控中</t>
        </is>
      </c>
    </row>
    <row r="13" ht="38" customHeight="1">
      <c r="A13" s="11" t="inlineStr">
        <is>
          <t>R11</t>
        </is>
      </c>
      <c r="B13" s="11" t="inlineStr">
        <is>
          <t>安全</t>
        </is>
      </c>
      <c r="C13" s="11" t="inlineStr">
        <is>
          <t>提示词注入导致越权/泄露系统提示</t>
        </is>
      </c>
      <c r="D13" s="11" t="n">
        <v>3</v>
      </c>
      <c r="E13" s="11" t="n">
        <v>3</v>
      </c>
      <c r="F13" s="11" t="n">
        <v>9</v>
      </c>
      <c r="G13" s="11" t="inlineStr">
        <is>
          <t>🟡 中</t>
        </is>
      </c>
      <c r="H13" s="11" t="inlineStr">
        <is>
          <t>只读边界 + 输入过滤 + 输出审查 + 20 条注入用例</t>
        </is>
      </c>
      <c r="I13" s="11" t="inlineStr">
        <is>
          <t>注入用例出现泄露</t>
        </is>
      </c>
      <c r="J13" s="11" t="inlineStr">
        <is>
          <t>P2</t>
        </is>
      </c>
      <c r="K13" s="11" t="inlineStr">
        <is>
          <t>🟡 监控中</t>
        </is>
      </c>
    </row>
    <row r="14" ht="38" customHeight="1">
      <c r="A14" s="11" t="inlineStr">
        <is>
          <t>R12</t>
        </is>
      </c>
      <c r="B14" s="11" t="inlineStr">
        <is>
          <t>进度</t>
        </is>
      </c>
      <c r="C14" s="11" t="inlineStr">
        <is>
          <t>联调阻塞（接口变更/环境不通）</t>
        </is>
      </c>
      <c r="D14" s="11" t="n">
        <v>3</v>
      </c>
      <c r="E14" s="11" t="n">
        <v>3</v>
      </c>
      <c r="F14" s="11" t="n">
        <v>9</v>
      </c>
      <c r="G14" s="11" t="inlineStr">
        <is>
          <t>🟡 中</t>
        </is>
      </c>
      <c r="H14" s="11" t="inlineStr">
        <is>
          <t>API 契约先行 + Mock + 每日联调 + 变更通知</t>
        </is>
      </c>
      <c r="I14" s="11" t="inlineStr">
        <is>
          <t>联调连续 2 天无进展</t>
        </is>
      </c>
      <c r="J14" s="11" t="inlineStr">
        <is>
          <t>P2</t>
        </is>
      </c>
      <c r="K14" s="11" t="inlineStr">
        <is>
          <t>🟡 监控中</t>
        </is>
      </c>
    </row>
    <row r="15" ht="38" customHeight="1">
      <c r="A15" s="11" t="inlineStr">
        <is>
          <t>R13</t>
        </is>
      </c>
      <c r="B15" s="11" t="inlineStr">
        <is>
          <t>质量</t>
        </is>
      </c>
      <c r="C15" s="11" t="inlineStr">
        <is>
          <t>性能不达标（列表/统计慢）</t>
        </is>
      </c>
      <c r="D15" s="11" t="n">
        <v>3</v>
      </c>
      <c r="E15" s="11" t="n">
        <v>3</v>
      </c>
      <c r="F15" s="11" t="n">
        <v>9</v>
      </c>
      <c r="G15" s="11" t="inlineStr">
        <is>
          <t>🟡 中</t>
        </is>
      </c>
      <c r="H15" s="11" t="inlineStr">
        <is>
          <t>索引评审 + 分页 + 缓存 + 压测左移到 S3</t>
        </is>
      </c>
      <c r="I15" s="11" t="inlineStr">
        <is>
          <t>P95 超阈值 2 倍</t>
        </is>
      </c>
      <c r="J15" s="11" t="inlineStr">
        <is>
          <t>P2</t>
        </is>
      </c>
      <c r="K15" s="11" t="inlineStr">
        <is>
          <t>🟡 监控中</t>
        </is>
      </c>
    </row>
    <row r="16" ht="38" customHeight="1">
      <c r="A16" s="11" t="inlineStr">
        <is>
          <t>R14</t>
        </is>
      </c>
      <c r="B16" s="11" t="inlineStr">
        <is>
          <t>运维</t>
        </is>
      </c>
      <c r="C16" s="11" t="inlineStr">
        <is>
          <t>数据丢失或备份不可恢复</t>
        </is>
      </c>
      <c r="D16" s="11" t="n">
        <v>2</v>
      </c>
      <c r="E16" s="11" t="n">
        <v>5</v>
      </c>
      <c r="F16" s="11" t="n">
        <v>10</v>
      </c>
      <c r="G16" s="11" t="inlineStr">
        <is>
          <t>🟡 中</t>
        </is>
      </c>
      <c r="H16" s="11" t="inlineStr">
        <is>
          <t>每日全备 + binlog + 每月恢复演练 + 异地副本</t>
        </is>
      </c>
      <c r="I16" s="11" t="inlineStr">
        <is>
          <t>恢复演练失败</t>
        </is>
      </c>
      <c r="J16" s="11" t="inlineStr">
        <is>
          <t>P5</t>
        </is>
      </c>
      <c r="K16" s="11" t="inlineStr">
        <is>
          <t>🟡 监控中</t>
        </is>
      </c>
    </row>
    <row r="17" ht="38" customHeight="1">
      <c r="A17" s="11" t="inlineStr">
        <is>
          <t>R15</t>
        </is>
      </c>
      <c r="B17" s="11" t="inlineStr">
        <is>
          <t>交付</t>
        </is>
      </c>
      <c r="C17" s="11" t="inlineStr">
        <is>
          <t>答辩演示环境故障/网络不稳</t>
        </is>
      </c>
      <c r="D17" s="11" t="n">
        <v>3</v>
      </c>
      <c r="E17" s="11" t="n">
        <v>4</v>
      </c>
      <c r="F17" s="11" t="n">
        <v>12</v>
      </c>
      <c r="G17" s="11" t="inlineStr">
        <is>
          <t>🟡 中</t>
        </is>
      </c>
      <c r="H17" s="11" t="inlineStr">
        <is>
          <t>本地离线演示包 + 录屏备份 + 双环境</t>
        </is>
      </c>
      <c r="I17" s="11" t="inlineStr">
        <is>
          <t>彩排失败</t>
        </is>
      </c>
      <c r="J17" s="11" t="inlineStr">
        <is>
          <t>P5</t>
        </is>
      </c>
      <c r="K17" s="11" t="inlineStr">
        <is>
          <t>🟡 监控中</t>
        </is>
      </c>
    </row>
    <row r="18" ht="38" customHeight="1">
      <c r="A18" s="11" t="inlineStr">
        <is>
          <t>R16</t>
        </is>
      </c>
      <c r="B18" s="11" t="inlineStr">
        <is>
          <t>人员</t>
        </is>
      </c>
      <c r="C18" s="11" t="inlineStr">
        <is>
          <t>核心成员退出/失联</t>
        </is>
      </c>
      <c r="D18" s="11" t="n">
        <v>2</v>
      </c>
      <c r="E18" s="11" t="n">
        <v>4</v>
      </c>
      <c r="F18" s="11" t="n">
        <v>8</v>
      </c>
      <c r="G18" s="11" t="inlineStr">
        <is>
          <t>🟡 中</t>
        </is>
      </c>
      <c r="H18" s="11" t="inlineStr">
        <is>
          <t>结对 + 文档化 + 代码不设“个人黑盒”</t>
        </is>
      </c>
      <c r="I18" s="11" t="inlineStr">
        <is>
          <t>连续 3 天无响应</t>
        </is>
      </c>
      <c r="J18" s="11" t="inlineStr">
        <is>
          <t>P1</t>
        </is>
      </c>
      <c r="K18" s="11" t="inlineStr">
        <is>
          <t>🟡 监控中</t>
        </is>
      </c>
    </row>
    <row r="19" ht="38" customHeight="1">
      <c r="A19" s="11" t="inlineStr">
        <is>
          <t>R17</t>
        </is>
      </c>
      <c r="B19" s="11" t="inlineStr">
        <is>
          <t>范围</t>
        </is>
      </c>
      <c r="C19" s="11" t="inlineStr">
        <is>
          <t>需求蔓延（临时加功能）</t>
        </is>
      </c>
      <c r="D19" s="11" t="n">
        <v>4</v>
      </c>
      <c r="E19" s="11" t="n">
        <v>3</v>
      </c>
      <c r="F19" s="11" t="n">
        <v>12</v>
      </c>
      <c r="G19" s="11" t="inlineStr">
        <is>
          <t>🟡 中</t>
        </is>
      </c>
      <c r="H19" s="11" t="inlineStr">
        <is>
          <t>基线 + CCB + 需求池 + 砍功能顺序</t>
        </is>
      </c>
      <c r="I19" s="11" t="inlineStr">
        <is>
          <t>口头需求 &gt;3 条/周</t>
        </is>
      </c>
      <c r="J19" s="11" t="inlineStr">
        <is>
          <t>P1</t>
        </is>
      </c>
      <c r="K19" s="11" t="inlineStr">
        <is>
          <t>🟡 监控中</t>
        </is>
      </c>
    </row>
    <row r="20" ht="38" customHeight="1">
      <c r="A20" s="11" t="inlineStr">
        <is>
          <t>R18</t>
        </is>
      </c>
      <c r="B20" s="11" t="inlineStr">
        <is>
          <t>数据</t>
        </is>
      </c>
      <c r="C20" s="11" t="inlineStr">
        <is>
          <t>销量数据来源缺失导致统计算不出来</t>
        </is>
      </c>
      <c r="D20" s="11" t="n">
        <v>3</v>
      </c>
      <c r="E20" s="11" t="n">
        <v>2</v>
      </c>
      <c r="F20" s="11" t="n">
        <v>6</v>
      </c>
      <c r="G20" s="11" t="inlineStr">
        <is>
          <t>🟢 低</t>
        </is>
      </c>
      <c r="H20" s="11" t="inlineStr">
        <is>
          <t>V1 手工录入 + 页面标注来源</t>
        </is>
      </c>
      <c r="I20" s="11" t="inlineStr">
        <is>
          <t>客户无法提供数据</t>
        </is>
      </c>
      <c r="J20" s="11" t="inlineStr">
        <is>
          <t>P1</t>
        </is>
      </c>
      <c r="K20" s="11" t="inlineStr">
        <is>
          <t>🟢 已接受</t>
        </is>
      </c>
    </row>
  </sheetData>
  <autoFilter ref="A2:K20"/>
  <mergeCells count="1">
    <mergeCell ref="A1:K1"/>
  </mergeCells>
  <conditionalFormatting sqref="G3:G20">
    <cfRule type="expression" priority="1" dxfId="0">
      <formula>ISNUMBER(SEARCH("高",G3))</formula>
    </cfRule>
    <cfRule type="expression" priority="2" dxfId="3">
      <formula>ISNUMBER(SEARCH("中",G3))</formula>
    </cfRule>
    <cfRule type="expression" priority="3" dxfId="4">
      <formula>ISNUMBER(SEARCH("低",G3))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8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8" customWidth="1" min="4" max="4"/>
    <col width="8" customWidth="1" min="5" max="5"/>
    <col width="12" customWidth="1" min="6" max="6"/>
    <col width="12" customWidth="1" min="7" max="7"/>
    <col width="24" customWidth="1" min="8" max="8"/>
  </cols>
  <sheetData>
    <row r="1" ht="34" customHeight="1">
      <c r="A1" s="9" t="inlineStr">
        <is>
          <t>测试用例索引 · 78 条（执行状态与缺陷号可填）</t>
        </is>
      </c>
    </row>
    <row r="2" ht="30" customHeight="1">
      <c r="A2" s="10" t="inlineStr">
        <is>
          <t>用例编号</t>
        </is>
      </c>
      <c r="B2" s="10" t="inlineStr">
        <is>
          <t>关联需求</t>
        </is>
      </c>
      <c r="C2" s="10" t="inlineStr">
        <is>
          <t>场景与步骤（摘要）</t>
        </is>
      </c>
      <c r="D2" s="10" t="inlineStr">
        <is>
          <t>优先级</t>
        </is>
      </c>
      <c r="E2" s="10" t="inlineStr">
        <is>
          <t>方式</t>
        </is>
      </c>
      <c r="F2" s="10" t="inlineStr">
        <is>
          <t>执行状态</t>
        </is>
      </c>
      <c r="G2" s="10" t="inlineStr">
        <is>
          <t>缺陷号</t>
        </is>
      </c>
      <c r="H2" s="10" t="inlineStr">
        <is>
          <t>备注</t>
        </is>
      </c>
    </row>
    <row r="3" ht="48" customHeight="1">
      <c r="A3" s="11" t="inlineStr">
        <is>
          <t>TC-BASE-01</t>
        </is>
      </c>
      <c r="B3" s="11" t="inlineStr">
        <is>
          <t>REQ-BASE-01</t>
        </is>
      </c>
      <c r="C3" s="11" t="inlineStr">
        <is>
          <t>①管理员提交合法农户（姓名/县域/手机号/资质）②提交含 `idCard` 的请求 ③重复 `farmerNo`</t>
        </is>
      </c>
      <c r="D3" s="11" t="inlineStr">
        <is>
          <t>P0</t>
        </is>
      </c>
      <c r="E3" s="11" t="inlineStr">
        <is>
          <t>A</t>
        </is>
      </c>
      <c r="F3" s="11" t="inlineStr">
        <is>
          <t>⬜ 未执行</t>
        </is>
      </c>
      <c r="G3" s="11" t="inlineStr"/>
      <c r="H3" s="11" t="inlineStr"/>
    </row>
    <row r="4" ht="48" customHeight="1">
      <c r="A4" s="11" t="inlineStr">
        <is>
          <t>TC-BASE-02</t>
        </is>
      </c>
      <c r="B4" s="11" t="inlineStr">
        <is>
          <t>REQ-BASE-02、REQ-AUTH-07</t>
        </is>
      </c>
      <c r="C4" s="11" t="inlineStr">
        <is>
          <t>①系统管理员看列表 ②农户 B 访问农户 A 详情 ③直播管理员调用查看全号 ④系统管理员未二次验证查看 ⑤系统管理员完成二次验证并填原因 ⑥搜索反脱敏接口</t>
        </is>
      </c>
      <c r="D4" s="11" t="inlineStr">
        <is>
          <t>P0</t>
        </is>
      </c>
      <c r="E4" s="11" t="inlineStr">
        <is>
          <t>A+S</t>
        </is>
      </c>
      <c r="F4" s="11" t="inlineStr">
        <is>
          <t>⬜ 未执行</t>
        </is>
      </c>
      <c r="G4" s="11" t="inlineStr"/>
      <c r="H4" s="11" t="inlineStr"/>
    </row>
    <row r="5" ht="48" customHeight="1">
      <c r="A5" s="11" t="inlineStr">
        <is>
          <t>TC-BASE-03</t>
        </is>
      </c>
      <c r="B5" s="11" t="inlineStr">
        <is>
          <t>REQ-BASE-03</t>
        </is>
      </c>
      <c r="C5" s="11" t="inlineStr">
        <is>
          <t>①上传 11MB PDF ②上传 `.exe` ③上传合法 PDF ④直接访问 fileKey ⑤16 分钟后访问签名 URL</t>
        </is>
      </c>
      <c r="D5" s="11" t="inlineStr">
        <is>
          <t>P0</t>
        </is>
      </c>
      <c r="E5" s="11" t="inlineStr">
        <is>
          <t>A</t>
        </is>
      </c>
      <c r="F5" s="11" t="inlineStr">
        <is>
          <t>⬜ 未执行</t>
        </is>
      </c>
      <c r="G5" s="11" t="inlineStr"/>
      <c r="H5" s="11" t="inlineStr"/>
    </row>
    <row r="6" ht="48" customHeight="1">
      <c r="A6" s="11" t="inlineStr">
        <is>
          <t>TC-BASE-04</t>
        </is>
      </c>
      <c r="B6" s="11" t="inlineStr">
        <is>
          <t>REQ-BASE-04</t>
        </is>
      </c>
      <c r="C6" s="11" t="inlineStr">
        <is>
          <t>①原因 4 字 ②原因合法 ③连续改同一字段 3 次</t>
        </is>
      </c>
      <c r="D6" s="11" t="inlineStr">
        <is>
          <t>P1</t>
        </is>
      </c>
      <c r="E6" s="11" t="inlineStr">
        <is>
          <t>A</t>
        </is>
      </c>
      <c r="F6" s="11" t="inlineStr">
        <is>
          <t>⬜ 未执行</t>
        </is>
      </c>
      <c r="G6" s="11" t="inlineStr"/>
      <c r="H6" s="11" t="inlineStr"/>
    </row>
    <row r="7" ht="48" customHeight="1">
      <c r="A7" s="11" t="inlineStr">
        <is>
          <t>TC-BASE-05</t>
        </is>
      </c>
      <c r="B7" s="11" t="inlineStr">
        <is>
          <t>REQ-BASE-05</t>
        </is>
      </c>
      <c r="C7" s="11" t="inlineStr">
        <is>
          <t>①场地 C001 下新增 2 台设备 ②前端传自定义编号 `ZB-X-99`</t>
        </is>
      </c>
      <c r="D7" s="11" t="inlineStr">
        <is>
          <t>P0</t>
        </is>
      </c>
      <c r="E7" s="11" t="inlineStr">
        <is>
          <t>A</t>
        </is>
      </c>
      <c r="F7" s="11" t="inlineStr">
        <is>
          <t>⬜ 未执行</t>
        </is>
      </c>
      <c r="G7" s="11" t="inlineStr"/>
      <c r="H7" s="11" t="inlineStr"/>
    </row>
    <row r="8" ht="48" customHeight="1">
      <c r="A8" s="11" t="inlineStr">
        <is>
          <t>TC-BASE-06</t>
        </is>
      </c>
      <c r="B8" s="11" t="inlineStr">
        <is>
          <t>REQ-BASE-06、REQ-BASE-10</t>
        </is>
      </c>
      <c r="C8" s="11" t="inlineStr">
        <is>
          <t>①设备置维修（填原因 + 预计恢复）②查 7 天可用资源 ③指定该设备预约</t>
        </is>
      </c>
      <c r="D8" s="11" t="inlineStr">
        <is>
          <t>P0</t>
        </is>
      </c>
      <c r="E8" s="11" t="inlineStr">
        <is>
          <t>A</t>
        </is>
      </c>
      <c r="F8" s="11" t="inlineStr">
        <is>
          <t>⬜ 未执行</t>
        </is>
      </c>
      <c r="G8" s="11" t="inlineStr"/>
      <c r="H8" s="11" t="inlineStr"/>
    </row>
    <row r="9" ht="48" customHeight="1">
      <c r="A9" s="11" t="inlineStr">
        <is>
          <t>TC-BASE-07</t>
        </is>
      </c>
      <c r="B9" s="11" t="inlineStr">
        <is>
          <t>REQ-BASE-08、REQ-BASE-09</t>
        </is>
      </c>
      <c r="C9" s="11" t="inlineStr">
        <is>
          <t>①开放时段 `18:00-09:00` ②设备绑不存在场地 ③设备跨场地变更</t>
        </is>
      </c>
      <c r="D9" s="11" t="inlineStr">
        <is>
          <t>P0</t>
        </is>
      </c>
      <c r="E9" s="11" t="inlineStr">
        <is>
          <t>A</t>
        </is>
      </c>
      <c r="F9" s="11" t="inlineStr">
        <is>
          <t>⬜ 未执行</t>
        </is>
      </c>
      <c r="G9" s="11" t="inlineStr"/>
      <c r="H9" s="11" t="inlineStr"/>
    </row>
    <row r="10" ht="48" customHeight="1">
      <c r="A10" s="11" t="inlineStr">
        <is>
          <t>TC-BASE-08</t>
        </is>
      </c>
      <c r="B10" s="11" t="inlineStr">
        <is>
          <t>REQ-BASE-11</t>
        </is>
      </c>
      <c r="C10" s="11" t="inlineStr">
        <is>
          <t>①按农户 ID + 县域 + 状态组合筛选 ②姓名输入 `%` ③分页 100</t>
        </is>
      </c>
      <c r="D10" s="11" t="inlineStr">
        <is>
          <t>P0</t>
        </is>
      </c>
      <c r="E10" s="11" t="inlineStr">
        <is>
          <t>A</t>
        </is>
      </c>
      <c r="F10" s="11" t="inlineStr">
        <is>
          <t>⬜ 未执行</t>
        </is>
      </c>
      <c r="G10" s="11" t="inlineStr"/>
      <c r="H10" s="11" t="inlineStr"/>
    </row>
    <row r="11" ht="48" customHeight="1">
      <c r="A11" s="11" t="inlineStr">
        <is>
          <t>TC-BASE-09</t>
        </is>
      </c>
      <c r="B11" s="11" t="inlineStr">
        <is>
          <t>REQ-BASE-13</t>
        </is>
      </c>
      <c r="C11" s="11" t="inlineStr">
        <is>
          <t>①未认证农户提交预约 ②停用农户登录 ③资质过期</t>
        </is>
      </c>
      <c r="D11" s="11" t="inlineStr">
        <is>
          <t>P0</t>
        </is>
      </c>
      <c r="E11" s="11" t="inlineStr">
        <is>
          <t>A</t>
        </is>
      </c>
      <c r="F11" s="11" t="inlineStr">
        <is>
          <t>⬜ 未执行</t>
        </is>
      </c>
      <c r="G11" s="11" t="inlineStr"/>
      <c r="H11" s="11" t="inlineStr"/>
    </row>
    <row r="12" ht="48" customHeight="1">
      <c r="A12" s="11" t="inlineStr">
        <is>
          <t>TC-BASE-10</t>
        </is>
      </c>
      <c r="B12" s="11" t="inlineStr">
        <is>
          <t>REQ-BASE-07</t>
        </is>
      </c>
      <c r="C12" s="11" t="inlineStr">
        <is>
          <t>①设备到期前 7 天 ②同一天跑任务 2 次 ③过期后查可约</t>
        </is>
      </c>
      <c r="D12" s="11" t="inlineStr">
        <is>
          <t>P2</t>
        </is>
      </c>
      <c r="E12" s="11" t="inlineStr">
        <is>
          <t>A</t>
        </is>
      </c>
      <c r="F12" s="11" t="inlineStr">
        <is>
          <t>⬜ 未执行</t>
        </is>
      </c>
      <c r="G12" s="11" t="inlineStr"/>
      <c r="H12" s="11" t="inlineStr"/>
    </row>
    <row r="13" ht="48" customHeight="1">
      <c r="A13" s="11" t="inlineStr">
        <is>
          <t>TC-BASE-11</t>
        </is>
      </c>
      <c r="B13" s="11" t="inlineStr">
        <is>
          <t>REQ-BASE-12</t>
        </is>
      </c>
      <c r="C13" s="11" t="inlineStr">
        <is>
          <t>①开关关闭触发同步 ②开启后 Mock 失败</t>
        </is>
      </c>
      <c r="D13" s="11" t="inlineStr">
        <is>
          <t>P2</t>
        </is>
      </c>
      <c r="E13" s="11" t="inlineStr">
        <is>
          <t>A</t>
        </is>
      </c>
      <c r="F13" s="11" t="inlineStr">
        <is>
          <t>⬜ 未执行</t>
        </is>
      </c>
      <c r="G13" s="11" t="inlineStr"/>
      <c r="H13" s="11" t="inlineStr"/>
    </row>
    <row r="14" ht="48" customHeight="1">
      <c r="A14" s="11" t="inlineStr">
        <is>
          <t>TC-BOOK-01</t>
        </is>
      </c>
      <c r="B14" s="11" t="inlineStr">
        <is>
          <t>REQ-BOOK-01、REQ-BOOK-02、REQ-BOOK-04</t>
        </is>
      </c>
      <c r="C14" s="11" t="inlineStr">
        <is>
          <t>农户提交：寿县、草莓专场、10:00-12:00、2 个产品</t>
        </is>
      </c>
      <c r="D14" s="11" t="inlineStr">
        <is>
          <t>P0</t>
        </is>
      </c>
      <c r="E14" s="11" t="inlineStr">
        <is>
          <t>A</t>
        </is>
      </c>
      <c r="F14" s="11" t="inlineStr">
        <is>
          <t>⬜ 未执行</t>
        </is>
      </c>
      <c r="G14" s="11" t="inlineStr"/>
      <c r="H14" s="11" t="inlineStr"/>
    </row>
    <row r="15" ht="48" customHeight="1">
      <c r="A15" s="11" t="inlineStr">
        <is>
          <t>TC-BOOK-02</t>
        </is>
      </c>
      <c r="B15" s="11" t="inlineStr">
        <is>
          <t>REQ-BOOK-02</t>
        </is>
      </c>
      <c r="C15" s="11" t="inlineStr">
        <is>
          <t>参数化：10:30 开始 / 23:00-01:00 / 5 小时 / now+1h59m / now+31d / 17:00-19:00（开放至 18:00）</t>
        </is>
      </c>
      <c r="D15" s="11" t="inlineStr">
        <is>
          <t>P0</t>
        </is>
      </c>
      <c r="E15" s="11" t="inlineStr">
        <is>
          <t>A</t>
        </is>
      </c>
      <c r="F15" s="11" t="inlineStr">
        <is>
          <t>⬜ 未执行</t>
        </is>
      </c>
      <c r="G15" s="11" t="inlineStr"/>
      <c r="H15" s="11" t="inlineStr"/>
    </row>
    <row r="16" ht="48" customHeight="1">
      <c r="A16" s="11" t="inlineStr">
        <is>
          <t>TC-BOOK-03</t>
        </is>
      </c>
      <c r="B16" s="11" t="inlineStr">
        <is>
          <t>REQ-BOOK-03</t>
        </is>
      </c>
      <c r="C16" s="11" t="inlineStr">
        <is>
          <t>已占用时段再次提交</t>
        </is>
      </c>
      <c r="D16" s="11" t="inlineStr">
        <is>
          <t>P0</t>
        </is>
      </c>
      <c r="E16" s="11" t="inlineStr">
        <is>
          <t>A</t>
        </is>
      </c>
      <c r="F16" s="11" t="inlineStr">
        <is>
          <t>⬜ 未执行</t>
        </is>
      </c>
      <c r="G16" s="11" t="inlineStr"/>
      <c r="H16" s="11" t="inlineStr"/>
    </row>
    <row r="17" ht="48" customHeight="1">
      <c r="A17" s="11" t="inlineStr">
        <is>
          <t>TC-BOOK-04</t>
        </is>
      </c>
      <c r="B17" s="11" t="inlineStr">
        <is>
          <t>REQ-BOOK-03、NFR-PERF-02</t>
        </is>
      </c>
      <c r="C17" s="11" t="inlineStr">
        <is>
          <t>JMeter 100 线程同设备同时段并发提交</t>
        </is>
      </c>
      <c r="D17" s="11" t="inlineStr">
        <is>
          <t>P0</t>
        </is>
      </c>
      <c r="E17" s="11" t="inlineStr">
        <is>
          <t>P</t>
        </is>
      </c>
      <c r="F17" s="11" t="inlineStr">
        <is>
          <t>⬜ 未执行</t>
        </is>
      </c>
      <c r="G17" s="11" t="inlineStr"/>
      <c r="H17" s="11" t="inlineStr"/>
    </row>
    <row r="18" ht="48" customHeight="1">
      <c r="A18" s="11" t="inlineStr">
        <is>
          <t>TC-BOOK-05</t>
        </is>
      </c>
      <c r="B18" s="11" t="inlineStr">
        <is>
          <t>REQ-BOOK-05</t>
        </is>
      </c>
      <c r="C18" s="11" t="inlineStr">
        <is>
          <t>同一 `Idempotency-Key` 连续提交 2 次</t>
        </is>
      </c>
      <c r="D18" s="11" t="inlineStr">
        <is>
          <t>P0</t>
        </is>
      </c>
      <c r="E18" s="11" t="inlineStr">
        <is>
          <t>A</t>
        </is>
      </c>
      <c r="F18" s="11" t="inlineStr">
        <is>
          <t>⬜ 未执行</t>
        </is>
      </c>
      <c r="G18" s="11" t="inlineStr"/>
      <c r="H18" s="11" t="inlineStr"/>
    </row>
    <row r="19" ht="48" customHeight="1">
      <c r="A19" s="11" t="inlineStr">
        <is>
          <t>TC-BOOK-06</t>
        </is>
      </c>
      <c r="B19" s="11" t="inlineStr">
        <is>
          <t>REQ-BOOK-05</t>
        </is>
      </c>
      <c r="C19" s="11" t="inlineStr">
        <is>
          <t>5 分钟内同农户+同主题+同时段，无幂等键再提交</t>
        </is>
      </c>
      <c r="D19" s="11" t="inlineStr">
        <is>
          <t>P0</t>
        </is>
      </c>
      <c r="E19" s="11" t="inlineStr">
        <is>
          <t>A</t>
        </is>
      </c>
      <c r="F19" s="11" t="inlineStr">
        <is>
          <t>⬜ 未执行</t>
        </is>
      </c>
      <c r="G19" s="11" t="inlineStr"/>
      <c r="H19" s="11" t="inlineStr"/>
    </row>
    <row r="20" ht="48" customHeight="1">
      <c r="A20" s="11" t="inlineStr">
        <is>
          <t>TC-BOOK-07</t>
        </is>
      </c>
      <c r="B20" s="11" t="inlineStr">
        <is>
          <t>REQ-BOOK-06</t>
        </is>
      </c>
      <c r="C20" s="11" t="inlineStr">
        <is>
          <t>①新预约 ②按时间/县域/产品组合筛选 ③农户访问审核列表</t>
        </is>
      </c>
      <c r="D20" s="11" t="inlineStr">
        <is>
          <t>P0</t>
        </is>
      </c>
      <c r="E20" s="11" t="inlineStr">
        <is>
          <t>A</t>
        </is>
      </c>
      <c r="F20" s="11" t="inlineStr">
        <is>
          <t>⬜ 未执行</t>
        </is>
      </c>
      <c r="G20" s="11" t="inlineStr"/>
      <c r="H20" s="11" t="inlineStr"/>
    </row>
    <row r="21" ht="48" customHeight="1">
      <c r="A21" s="11" t="inlineStr">
        <is>
          <t>TC-BOOK-08</t>
        </is>
      </c>
      <c r="B21" s="11" t="inlineStr">
        <is>
          <t>REQ-BOOK-07</t>
        </is>
      </c>
      <c r="C21" s="11" t="inlineStr">
        <is>
          <t>审核通过</t>
        </is>
      </c>
      <c r="D21" s="11" t="inlineStr">
        <is>
          <t>P0</t>
        </is>
      </c>
      <c r="E21" s="11" t="inlineStr">
        <is>
          <t>A</t>
        </is>
      </c>
      <c r="F21" s="11" t="inlineStr">
        <is>
          <t>⬜ 未执行</t>
        </is>
      </c>
      <c r="G21" s="11" t="inlineStr"/>
      <c r="H21" s="11" t="inlineStr"/>
    </row>
    <row r="22" ht="48" customHeight="1">
      <c r="A22" s="11" t="inlineStr">
        <is>
          <t>TC-BOOK-09</t>
        </is>
      </c>
      <c r="B22" s="11" t="inlineStr">
        <is>
          <t>REQ-BOOK-07、REQ-BOOK-13</t>
        </is>
      </c>
      <c r="C22" s="11" t="inlineStr">
        <is>
          <t>两个会话同时用同一 version 审核通过</t>
        </is>
      </c>
      <c r="D22" s="11" t="inlineStr">
        <is>
          <t>P0</t>
        </is>
      </c>
      <c r="E22" s="11" t="inlineStr">
        <is>
          <t>A</t>
        </is>
      </c>
      <c r="F22" s="11" t="inlineStr">
        <is>
          <t>⬜ 未执行</t>
        </is>
      </c>
      <c r="G22" s="11" t="inlineStr"/>
      <c r="H22" s="11" t="inlineStr"/>
    </row>
    <row r="23" ht="48" customHeight="1">
      <c r="A23" s="11" t="inlineStr">
        <is>
          <t>TC-BOOK-10</t>
        </is>
      </c>
      <c r="B23" s="11" t="inlineStr">
        <is>
          <t>REQ-BOOK-08</t>
        </is>
      </c>
      <c r="C23" s="11" t="inlineStr">
        <is>
          <t>①原因 4 字 ②原因合法但无推荐时间 ③推荐时间冲突 ④合法驳回</t>
        </is>
      </c>
      <c r="D23" s="11" t="inlineStr">
        <is>
          <t>P0</t>
        </is>
      </c>
      <c r="E23" s="11" t="inlineStr">
        <is>
          <t>A</t>
        </is>
      </c>
      <c r="F23" s="11" t="inlineStr">
        <is>
          <t>⬜ 未执行</t>
        </is>
      </c>
      <c r="G23" s="11" t="inlineStr"/>
      <c r="H23" s="11" t="inlineStr"/>
    </row>
    <row r="24" ht="48" customHeight="1">
      <c r="A24" s="11" t="inlineStr">
        <is>
          <t>TC-BOOK-11</t>
        </is>
      </c>
      <c r="B24" s="11" t="inlineStr">
        <is>
          <t>REQ-BOOK-09</t>
        </is>
      </c>
      <c r="C24" s="11" t="inlineStr">
        <is>
          <t>固定时钟：待审 +25h、+50h、随后审核</t>
        </is>
      </c>
      <c r="D24" s="11" t="inlineStr">
        <is>
          <t>P1</t>
        </is>
      </c>
      <c r="E24" s="11" t="inlineStr">
        <is>
          <t>A</t>
        </is>
      </c>
      <c r="F24" s="11" t="inlineStr">
        <is>
          <t>⬜ 未执行</t>
        </is>
      </c>
      <c r="G24" s="11" t="inlineStr"/>
      <c r="H24" s="11" t="inlineStr"/>
    </row>
    <row r="25" ht="48" customHeight="1">
      <c r="A25" s="11" t="inlineStr">
        <is>
          <t>TC-BOOK-12</t>
        </is>
      </c>
      <c r="B25" s="11" t="inlineStr">
        <is>
          <t>REQ-BOOK-10</t>
        </is>
      </c>
      <c r="C25" s="11" t="inlineStr">
        <is>
          <t>①距开始恰好 12:00 申请调整 ②11:59:59</t>
        </is>
      </c>
      <c r="D25" s="11" t="inlineStr">
        <is>
          <t>P0</t>
        </is>
      </c>
      <c r="E25" s="11" t="inlineStr">
        <is>
          <t>A</t>
        </is>
      </c>
      <c r="F25" s="11" t="inlineStr">
        <is>
          <t>⬜ 未执行</t>
        </is>
      </c>
      <c r="G25" s="11" t="inlineStr"/>
      <c r="H25" s="11" t="inlineStr"/>
    </row>
    <row r="26" ht="48" customHeight="1">
      <c r="A26" s="11" t="inlineStr">
        <is>
          <t>TC-BOOK-13</t>
        </is>
      </c>
      <c r="B26" s="11" t="inlineStr">
        <is>
          <t>REQ-BOOK-11</t>
        </is>
      </c>
      <c r="C26" s="11" t="inlineStr">
        <is>
          <t>①通过调整到空闲时段 ②通过调整到冲突时段 ③驳回调整</t>
        </is>
      </c>
      <c r="D26" s="11" t="inlineStr">
        <is>
          <t>P0</t>
        </is>
      </c>
      <c r="E26" s="11" t="inlineStr">
        <is>
          <t>A</t>
        </is>
      </c>
      <c r="F26" s="11" t="inlineStr">
        <is>
          <t>⬜ 未执行</t>
        </is>
      </c>
      <c r="G26" s="11" t="inlineStr"/>
      <c r="H26" s="11" t="inlineStr"/>
    </row>
    <row r="27" ht="48" customHeight="1">
      <c r="A27" s="11" t="inlineStr">
        <is>
          <t>TC-BOOK-14</t>
        </is>
      </c>
      <c r="B27" s="11" t="inlineStr">
        <is>
          <t>REQ-BOOK-12</t>
        </is>
      </c>
      <c r="C27" s="11" t="inlineStr">
        <is>
          <t>①开始前取消（选原因）②开始后取消 ③取消后查资源与候补</t>
        </is>
      </c>
      <c r="D27" s="11" t="inlineStr">
        <is>
          <t>P0</t>
        </is>
      </c>
      <c r="E27" s="11" t="inlineStr">
        <is>
          <t>A</t>
        </is>
      </c>
      <c r="F27" s="11" t="inlineStr">
        <is>
          <t>⬜ 未执行</t>
        </is>
      </c>
      <c r="G27" s="11" t="inlineStr"/>
      <c r="H27" s="11" t="inlineStr"/>
    </row>
    <row r="28" ht="48" customHeight="1">
      <c r="A28" s="11" t="inlineStr">
        <is>
          <t>TC-BOOK-15</t>
        </is>
      </c>
      <c r="B28" s="11" t="inlineStr">
        <is>
          <t>REQ-BOOK-13</t>
        </is>
      </c>
      <c r="C28" s="11" t="inlineStr">
        <is>
          <t>①`REJECTED→APPROVED` ②`CANCELLED→COMPLETED` ③重复通过</t>
        </is>
      </c>
      <c r="D28" s="11" t="inlineStr">
        <is>
          <t>P0</t>
        </is>
      </c>
      <c r="E28" s="11" t="inlineStr">
        <is>
          <t>A</t>
        </is>
      </c>
      <c r="F28" s="11" t="inlineStr">
        <is>
          <t>⬜ 未执行</t>
        </is>
      </c>
      <c r="G28" s="11" t="inlineStr"/>
      <c r="H28" s="11" t="inlineStr"/>
    </row>
    <row r="29" ht="48" customHeight="1">
      <c r="A29" s="11" t="inlineStr">
        <is>
          <t>TC-BOOK-16</t>
        </is>
      </c>
      <c r="B29" s="11" t="inlineStr">
        <is>
          <t>REQ-BOOK-14</t>
        </is>
      </c>
      <c r="C29" s="11" t="inlineStr">
        <is>
          <t>①农户 A 查我的预约 ②篡改 `farmerId` 查 B</t>
        </is>
      </c>
      <c r="D29" s="11" t="inlineStr">
        <is>
          <t>P1</t>
        </is>
      </c>
      <c r="E29" s="11" t="inlineStr">
        <is>
          <t>A</t>
        </is>
      </c>
      <c r="F29" s="11" t="inlineStr">
        <is>
          <t>⬜ 未执行</t>
        </is>
      </c>
      <c r="G29" s="11" t="inlineStr"/>
      <c r="H29" s="11" t="inlineStr"/>
    </row>
    <row r="30" ht="48" customHeight="1">
      <c r="A30" s="11" t="inlineStr">
        <is>
          <t>TC-QUEUE-01</t>
        </is>
      </c>
      <c r="B30" s="11" t="inlineStr">
        <is>
          <t>REQ-QUEUE-01</t>
        </is>
      </c>
      <c r="C30" s="11" t="inlineStr">
        <is>
          <t>①冲突响应 ②点击进入排队 ③未确认前查库</t>
        </is>
      </c>
      <c r="D30" s="11" t="inlineStr">
        <is>
          <t>P0</t>
        </is>
      </c>
      <c r="E30" s="11" t="inlineStr">
        <is>
          <t>A</t>
        </is>
      </c>
      <c r="F30" s="11" t="inlineStr">
        <is>
          <t>⬜ 未执行</t>
        </is>
      </c>
      <c r="G30" s="11" t="inlineStr"/>
      <c r="H30" s="11" t="inlineStr"/>
    </row>
    <row r="31" ht="48" customHeight="1">
      <c r="A31" s="11" t="inlineStr">
        <is>
          <t>TC-QUEUE-02</t>
        </is>
      </c>
      <c r="B31" s="11" t="inlineStr">
        <is>
          <t>REQ-QUEUE-02</t>
        </is>
      </c>
      <c r="C31" s="11" t="inlineStr">
        <is>
          <t>①同组连续 2 人 ②次日同组 ③50 并发</t>
        </is>
      </c>
      <c r="D31" s="11" t="inlineStr">
        <is>
          <t>P0</t>
        </is>
      </c>
      <c r="E31" s="11" t="inlineStr">
        <is>
          <t>A+P</t>
        </is>
      </c>
      <c r="F31" s="11" t="inlineStr">
        <is>
          <t>⬜ 未执行</t>
        </is>
      </c>
      <c r="G31" s="11" t="inlineStr"/>
      <c r="H31" s="11" t="inlineStr"/>
    </row>
    <row r="32" ht="48" customHeight="1">
      <c r="A32" s="11" t="inlineStr">
        <is>
          <t>TC-QUEUE-03</t>
        </is>
      </c>
      <c r="B32" s="11" t="inlineStr">
        <is>
          <t>REQ-QUEUE-03、REQ-QUEUE-04</t>
        </is>
      </c>
      <c r="C32" s="11" t="inlineStr">
        <is>
          <t>A/B/C 于 09:00/09:01/09:02 加入，C 查看</t>
        </is>
      </c>
      <c r="D32" s="11" t="inlineStr">
        <is>
          <t>P0</t>
        </is>
      </c>
      <c r="E32" s="11" t="inlineStr">
        <is>
          <t>A</t>
        </is>
      </c>
      <c r="F32" s="11" t="inlineStr">
        <is>
          <t>⬜ 未执行</t>
        </is>
      </c>
      <c r="G32" s="11" t="inlineStr"/>
      <c r="H32" s="11" t="inlineStr"/>
    </row>
    <row r="33" ht="48" customHeight="1">
      <c r="A33" s="11" t="inlineStr">
        <is>
          <t>TC-QUEUE-04</t>
        </is>
      </c>
      <c r="B33" s="11" t="inlineStr">
        <is>
          <t>REQ-QUEUE-03、REQ-QUEUE-06</t>
        </is>
      </c>
      <c r="C33" s="11" t="inlineStr">
        <is>
          <t>A 退出后刷新 B/C</t>
        </is>
      </c>
      <c r="D33" s="11" t="inlineStr">
        <is>
          <t>P0</t>
        </is>
      </c>
      <c r="E33" s="11" t="inlineStr">
        <is>
          <t>A</t>
        </is>
      </c>
      <c r="F33" s="11" t="inlineStr">
        <is>
          <t>⬜ 未执行</t>
        </is>
      </c>
      <c r="G33" s="11" t="inlineStr"/>
      <c r="H33" s="11" t="inlineStr"/>
    </row>
    <row r="34" ht="48" customHeight="1">
      <c r="A34" s="11" t="inlineStr">
        <is>
          <t>TC-QUEUE-05</t>
        </is>
      </c>
      <c r="B34" s="11" t="inlineStr">
        <is>
          <t>REQ-QUEUE-05</t>
        </is>
      </c>
      <c r="C34" s="11" t="inlineStr">
        <is>
          <t>按日期/设备筛选；访问他人排队</t>
        </is>
      </c>
      <c r="D34" s="11" t="inlineStr">
        <is>
          <t>P1</t>
        </is>
      </c>
      <c r="E34" s="11" t="inlineStr">
        <is>
          <t>A</t>
        </is>
      </c>
      <c r="F34" s="11" t="inlineStr">
        <is>
          <t>⬜ 未执行</t>
        </is>
      </c>
      <c r="G34" s="11" t="inlineStr"/>
      <c r="H34" s="11" t="inlineStr"/>
    </row>
    <row r="35" ht="48" customHeight="1">
      <c r="A35" s="11" t="inlineStr">
        <is>
          <t>TC-QUEUE-06</t>
        </is>
      </c>
      <c r="B35" s="11" t="inlineStr">
        <is>
          <t>REQ-QUEUE-07</t>
        </is>
      </c>
      <c r="C35" s="11" t="inlineStr">
        <is>
          <t>①取消释放资源 ②并发两次释放 ③队首在冷却期</t>
        </is>
      </c>
      <c r="D35" s="11" t="inlineStr">
        <is>
          <t>P0</t>
        </is>
      </c>
      <c r="E35" s="11" t="inlineStr">
        <is>
          <t>A</t>
        </is>
      </c>
      <c r="F35" s="11" t="inlineStr">
        <is>
          <t>⬜ 未执行</t>
        </is>
      </c>
      <c r="G35" s="11" t="inlineStr"/>
      <c r="H35" s="11" t="inlineStr"/>
    </row>
    <row r="36" ht="48" customHeight="1">
      <c r="A36" s="11" t="inlineStr">
        <is>
          <t>TC-QUEUE-07</t>
        </is>
      </c>
      <c r="B36" s="11" t="inlineStr">
        <is>
          <t>REQ-QUEUE-08</t>
        </is>
      </c>
      <c r="C36" s="11" t="inlineStr">
        <is>
          <t>候补确认；重复确认</t>
        </is>
      </c>
      <c r="D36" s="11" t="inlineStr">
        <is>
          <t>P0</t>
        </is>
      </c>
      <c r="E36" s="11" t="inlineStr">
        <is>
          <t>A</t>
        </is>
      </c>
      <c r="F36" s="11" t="inlineStr">
        <is>
          <t>⬜ 未执行</t>
        </is>
      </c>
      <c r="G36" s="11" t="inlineStr"/>
      <c r="H36" s="11" t="inlineStr"/>
    </row>
    <row r="37" ht="48" customHeight="1">
      <c r="A37" s="11" t="inlineStr">
        <is>
          <t>TC-QUEUE-08</t>
        </is>
      </c>
      <c r="B37" s="11" t="inlineStr">
        <is>
          <t>REQ-QUEUE-08、REQ-QUEUE-09</t>
        </is>
      </c>
      <c r="C37" s="11" t="inlineStr">
        <is>
          <t>①放弃 ②超时</t>
        </is>
      </c>
      <c r="D37" s="11" t="inlineStr">
        <is>
          <t>P0</t>
        </is>
      </c>
      <c r="E37" s="11" t="inlineStr">
        <is>
          <t>A</t>
        </is>
      </c>
      <c r="F37" s="11" t="inlineStr">
        <is>
          <t>⬜ 未执行</t>
        </is>
      </c>
      <c r="G37" s="11" t="inlineStr"/>
      <c r="H37" s="11" t="inlineStr"/>
    </row>
    <row r="38" ht="48" customHeight="1">
      <c r="A38" s="11" t="inlineStr">
        <is>
          <t>TC-QUEUE-09</t>
        </is>
      </c>
      <c r="B38" s="11" t="inlineStr">
        <is>
          <t>REQ-QUEUE-09</t>
        </is>
      </c>
      <c r="C38" s="11" t="inlineStr">
        <is>
          <t>①距开播 30h ②1h ③25min</t>
        </is>
      </c>
      <c r="D38" s="11" t="inlineStr">
        <is>
          <t>P0</t>
        </is>
      </c>
      <c r="E38" s="11" t="inlineStr">
        <is>
          <t>A</t>
        </is>
      </c>
      <c r="F38" s="11" t="inlineStr">
        <is>
          <t>⬜ 未执行</t>
        </is>
      </c>
      <c r="G38" s="11" t="inlineStr"/>
      <c r="H38" s="11" t="inlineStr"/>
    </row>
    <row r="39" ht="48" customHeight="1">
      <c r="A39" s="11" t="inlineStr">
        <is>
          <t>TC-QUEUE-10</t>
        </is>
      </c>
      <c r="B39" s="11" t="inlineStr">
        <is>
          <t>REQ-QUEUE-10</t>
        </is>
      </c>
      <c r="C39" s="11" t="inlineStr">
        <is>
          <t>同一农户同设备同时段重复加入；取消后再次加入</t>
        </is>
      </c>
      <c r="D39" s="11" t="inlineStr">
        <is>
          <t>P0</t>
        </is>
      </c>
      <c r="E39" s="11" t="inlineStr">
        <is>
          <t>A</t>
        </is>
      </c>
      <c r="F39" s="11" t="inlineStr">
        <is>
          <t>⬜ 未执行</t>
        </is>
      </c>
      <c r="G39" s="11" t="inlineStr"/>
      <c r="H39" s="11" t="inlineStr"/>
    </row>
    <row r="40" ht="48" customHeight="1">
      <c r="A40" s="11" t="inlineStr">
        <is>
          <t>TC-QUEUE-11</t>
        </is>
      </c>
      <c r="B40" s="11" t="inlineStr">
        <is>
          <t>REQ-QUEUE-11</t>
        </is>
      </c>
      <c r="C40" s="11" t="inlineStr">
        <is>
          <t>候补确认后取消；71:59 再排；改排其他设备</t>
        </is>
      </c>
      <c r="D40" s="11" t="inlineStr">
        <is>
          <t>P0</t>
        </is>
      </c>
      <c r="E40" s="11" t="inlineStr">
        <is>
          <t>A</t>
        </is>
      </c>
      <c r="F40" s="11" t="inlineStr">
        <is>
          <t>⬜ 未执行</t>
        </is>
      </c>
      <c r="G40" s="11" t="inlineStr"/>
      <c r="H40" s="11" t="inlineStr"/>
    </row>
    <row r="41" ht="48" customHeight="1">
      <c r="A41" s="11" t="inlineStr">
        <is>
          <t>TC-QUEUE-12</t>
        </is>
      </c>
      <c r="B41" s="11" t="inlineStr">
        <is>
          <t>REQ-QUEUE-12</t>
        </is>
      </c>
      <c r="C41" s="11" t="inlineStr">
        <is>
          <t>50 并发加入同一队列</t>
        </is>
      </c>
      <c r="D41" s="11" t="inlineStr">
        <is>
          <t>P0</t>
        </is>
      </c>
      <c r="E41" s="11" t="inlineStr">
        <is>
          <t>P</t>
        </is>
      </c>
      <c r="F41" s="11" t="inlineStr">
        <is>
          <t>⬜ 未执行</t>
        </is>
      </c>
      <c r="G41" s="11" t="inlineStr"/>
      <c r="H41" s="11" t="inlineStr"/>
    </row>
    <row r="42" ht="48" customHeight="1">
      <c r="A42" s="11" t="inlineStr">
        <is>
          <t>TC-QUEUE-13</t>
        </is>
      </c>
      <c r="B42" s="11" t="inlineStr">
        <is>
          <t>REQ-QUEUE-13</t>
        </is>
      </c>
      <c r="C42" s="11" t="inlineStr">
        <is>
          <t>①开播后跑清理 ②重复跑 ③管理员手动关闭</t>
        </is>
      </c>
      <c r="D42" s="11" t="inlineStr">
        <is>
          <t>P1</t>
        </is>
      </c>
      <c r="E42" s="11" t="inlineStr">
        <is>
          <t>A</t>
        </is>
      </c>
      <c r="F42" s="11" t="inlineStr">
        <is>
          <t>⬜ 未执行</t>
        </is>
      </c>
      <c r="G42" s="11" t="inlineStr"/>
      <c r="H42" s="11" t="inlineStr"/>
    </row>
    <row r="43" ht="48" customHeight="1">
      <c r="A43" s="11" t="inlineStr">
        <is>
          <t>TC-NOTI-01</t>
        </is>
      </c>
      <c r="B43" s="11" t="inlineStr">
        <is>
          <t>REQ-NOTI-01</t>
        </is>
      </c>
      <c r="C43" s="11" t="inlineStr">
        <is>
          <t>触发审核结果/顺位/候补/开播/故障 5 类；构造缺变量</t>
        </is>
      </c>
      <c r="D43" s="11" t="inlineStr">
        <is>
          <t>P0</t>
        </is>
      </c>
      <c r="E43" s="11" t="inlineStr">
        <is>
          <t>A</t>
        </is>
      </c>
      <c r="F43" s="11" t="inlineStr">
        <is>
          <t>⬜ 未执行</t>
        </is>
      </c>
      <c r="G43" s="11" t="inlineStr"/>
      <c r="H43" s="11" t="inlineStr"/>
    </row>
    <row r="44" ht="48" customHeight="1">
      <c r="A44" s="11" t="inlineStr">
        <is>
          <t>TC-NOTI-02</t>
        </is>
      </c>
      <c r="B44" s="11" t="inlineStr">
        <is>
          <t>REQ-NOTI-02</t>
        </is>
      </c>
      <c r="C44" s="11" t="inlineStr">
        <is>
          <t>①故障预警 ②审核结果 ③用户关闭关键短信</t>
        </is>
      </c>
      <c r="D44" s="11" t="inlineStr">
        <is>
          <t>P0</t>
        </is>
      </c>
      <c r="E44" s="11" t="inlineStr">
        <is>
          <t>A</t>
        </is>
      </c>
      <c r="F44" s="11" t="inlineStr">
        <is>
          <t>⬜ 未执行</t>
        </is>
      </c>
      <c r="G44" s="11" t="inlineStr"/>
      <c r="H44" s="11" t="inlineStr"/>
    </row>
    <row r="45" ht="48" customHeight="1">
      <c r="A45" s="11" t="inlineStr">
        <is>
          <t>TC-NOTI-03</t>
        </is>
      </c>
      <c r="B45" s="11" t="inlineStr">
        <is>
          <t>REQ-NOTI-03</t>
        </is>
      </c>
      <c r="C45" s="11" t="inlineStr">
        <is>
          <t>成功/失败各 1 次后查询</t>
        </is>
      </c>
      <c r="D45" s="11" t="inlineStr">
        <is>
          <t>P0</t>
        </is>
      </c>
      <c r="E45" s="11" t="inlineStr">
        <is>
          <t>A</t>
        </is>
      </c>
      <c r="F45" s="11" t="inlineStr">
        <is>
          <t>⬜ 未执行</t>
        </is>
      </c>
      <c r="G45" s="11" t="inlineStr"/>
      <c r="H45" s="11" t="inlineStr"/>
    </row>
    <row r="46" ht="48" customHeight="1">
      <c r="A46" s="11" t="inlineStr">
        <is>
          <t>TC-NOTI-04</t>
        </is>
      </c>
      <c r="B46" s="11" t="inlineStr">
        <is>
          <t>REQ-NOTI-04</t>
        </is>
      </c>
      <c r="C46" s="11" t="inlineStr">
        <is>
          <t>短信持续失败；等待 1/5/15 分钟；重启服务</t>
        </is>
      </c>
      <c r="D46" s="11" t="inlineStr">
        <is>
          <t>P0</t>
        </is>
      </c>
      <c r="E46" s="11" t="inlineStr">
        <is>
          <t>A</t>
        </is>
      </c>
      <c r="F46" s="11" t="inlineStr">
        <is>
          <t>⬜ 未执行</t>
        </is>
      </c>
      <c r="G46" s="11" t="inlineStr"/>
      <c r="H46" s="11" t="inlineStr"/>
    </row>
    <row r="47" ht="48" customHeight="1">
      <c r="A47" s="11" t="inlineStr">
        <is>
          <t>TC-NOTI-05</t>
        </is>
      </c>
      <c r="B47" s="11" t="inlineStr">
        <is>
          <t>REQ-NOTI-05</t>
        </is>
      </c>
      <c r="C47" s="11" t="inlineStr">
        <is>
          <t>①未读数 ②标记已读 ③操作用户 B 的通知</t>
        </is>
      </c>
      <c r="D47" s="11" t="inlineStr">
        <is>
          <t>P1</t>
        </is>
      </c>
      <c r="E47" s="11" t="inlineStr">
        <is>
          <t>A</t>
        </is>
      </c>
      <c r="F47" s="11" t="inlineStr">
        <is>
          <t>⬜ 未执行</t>
        </is>
      </c>
      <c r="G47" s="11" t="inlineStr"/>
      <c r="H47" s="11" t="inlineStr"/>
    </row>
    <row r="48" ht="48" customHeight="1">
      <c r="A48" s="11" t="inlineStr">
        <is>
          <t>TC-NOTI-06</t>
        </is>
      </c>
      <c r="B48" s="11" t="inlineStr">
        <is>
          <t>REQ-NOTI-06</t>
        </is>
      </c>
      <c r="C48" s="11" t="inlineStr">
        <is>
          <t>①09:00/09:05/09:10 扫描 ②改期到 14:00</t>
        </is>
      </c>
      <c r="D48" s="11" t="inlineStr">
        <is>
          <t>P0</t>
        </is>
      </c>
      <c r="E48" s="11" t="inlineStr">
        <is>
          <t>A</t>
        </is>
      </c>
      <c r="F48" s="11" t="inlineStr">
        <is>
          <t>⬜ 未执行</t>
        </is>
      </c>
      <c r="G48" s="11" t="inlineStr"/>
      <c r="H48" s="11" t="inlineStr"/>
    </row>
    <row r="49" ht="48" customHeight="1">
      <c r="A49" s="11" t="inlineStr">
        <is>
          <t>TC-NOTI-07</t>
        </is>
      </c>
      <c r="B49" s="11" t="inlineStr">
        <is>
          <t>REQ-NOTI-07</t>
        </is>
      </c>
      <c r="C49" s="11" t="inlineStr">
        <is>
          <t>未报备模板发送；模板变量与报备不一致保存</t>
        </is>
      </c>
      <c r="D49" s="11" t="inlineStr">
        <is>
          <t>P2</t>
        </is>
      </c>
      <c r="E49" s="11" t="inlineStr">
        <is>
          <t>M</t>
        </is>
      </c>
      <c r="F49" s="11" t="inlineStr">
        <is>
          <t>⬜ 未执行</t>
        </is>
      </c>
      <c r="G49" s="11" t="inlineStr"/>
      <c r="H49" s="11" t="inlineStr"/>
    </row>
    <row r="50" ht="48" customHeight="1">
      <c r="A50" s="11" t="inlineStr">
        <is>
          <t>TC-STAT-01</t>
        </is>
      </c>
      <c r="B50" s="11" t="inlineStr">
        <is>
          <t>REQ-STAT-01</t>
        </is>
      </c>
      <c r="C50" s="11" t="inlineStr">
        <is>
          <t>已知 10 条预约（6 通过/1 完成/3 驳回）查成功率；分母 0</t>
        </is>
      </c>
      <c r="D50" s="11" t="inlineStr">
        <is>
          <t>P0</t>
        </is>
      </c>
      <c r="E50" s="11" t="inlineStr">
        <is>
          <t>A</t>
        </is>
      </c>
      <c r="F50" s="11" t="inlineStr">
        <is>
          <t>⬜ 未执行</t>
        </is>
      </c>
      <c r="G50" s="11" t="inlineStr"/>
      <c r="H50" s="11" t="inlineStr"/>
    </row>
    <row r="51" ht="48" customHeight="1">
      <c r="A51" s="11" t="inlineStr">
        <is>
          <t>TC-STAT-02</t>
        </is>
      </c>
      <c r="B51" s="11" t="inlineStr">
        <is>
          <t>REQ-STAT-02</t>
        </is>
      </c>
      <c r="C51" s="11" t="inlineStr">
        <is>
          <t>组合筛选；自定义 2 年区间；空区间</t>
        </is>
      </c>
      <c r="D51" s="11" t="inlineStr">
        <is>
          <t>P0</t>
        </is>
      </c>
      <c r="E51" s="11" t="inlineStr">
        <is>
          <t>A</t>
        </is>
      </c>
      <c r="F51" s="11" t="inlineStr">
        <is>
          <t>⬜ 未执行</t>
        </is>
      </c>
      <c r="G51" s="11" t="inlineStr"/>
      <c r="H51" s="11" t="inlineStr"/>
    </row>
    <row r="52" ht="48" customHeight="1">
      <c r="A52" s="11" t="inlineStr">
        <is>
          <t>TC-STAT-03</t>
        </is>
      </c>
      <c r="B52" s="11" t="inlineStr">
        <is>
          <t>REQ-STAT-03</t>
        </is>
      </c>
      <c r="C52" s="11" t="inlineStr">
        <is>
          <t>日/周/月切换；空数据</t>
        </is>
      </c>
      <c r="D52" s="11" t="inlineStr">
        <is>
          <t>P1</t>
        </is>
      </c>
      <c r="E52" s="11" t="inlineStr">
        <is>
          <t>A</t>
        </is>
      </c>
      <c r="F52" s="11" t="inlineStr">
        <is>
          <t>⬜ 未执行</t>
        </is>
      </c>
      <c r="G52" s="11" t="inlineStr"/>
      <c r="H52" s="11" t="inlineStr"/>
    </row>
    <row r="53" ht="48" customHeight="1">
      <c r="A53" s="11" t="inlineStr">
        <is>
          <t>TC-STAT-04</t>
        </is>
      </c>
      <c r="B53" s="11" t="inlineStr">
        <is>
          <t>REQ-STAT-04</t>
        </is>
      </c>
      <c r="C53" s="11" t="inlineStr">
        <is>
          <t>①5 万行导出 ②5 万零 1 行 ③统计员勾选全号 ④系统管理员二次验证后导出</t>
        </is>
      </c>
      <c r="D53" s="11" t="inlineStr">
        <is>
          <t>P0</t>
        </is>
      </c>
      <c r="E53" s="11" t="inlineStr">
        <is>
          <t>A+P</t>
        </is>
      </c>
      <c r="F53" s="11" t="inlineStr">
        <is>
          <t>⬜ 未执行</t>
        </is>
      </c>
      <c r="G53" s="11" t="inlineStr"/>
      <c r="H53" s="11" t="inlineStr"/>
    </row>
    <row r="54" ht="48" customHeight="1">
      <c r="A54" s="11" t="inlineStr">
        <is>
          <t>TC-STAT-05</t>
        </is>
      </c>
      <c r="B54" s="11" t="inlineStr">
        <is>
          <t>REQ-STAT-05</t>
        </is>
      </c>
      <c r="C54" s="11" t="inlineStr">
        <is>
          <t>导出 PDF</t>
        </is>
      </c>
      <c r="D54" s="11" t="inlineStr">
        <is>
          <t>P1</t>
        </is>
      </c>
      <c r="E54" s="11" t="inlineStr">
        <is>
          <t>A</t>
        </is>
      </c>
      <c r="F54" s="11" t="inlineStr">
        <is>
          <t>⬜ 未执行</t>
        </is>
      </c>
      <c r="G54" s="11" t="inlineStr"/>
      <c r="H54" s="11" t="inlineStr"/>
    </row>
    <row r="55" ht="48" customHeight="1">
      <c r="A55" s="11" t="inlineStr">
        <is>
          <t>TC-STAT-06</t>
        </is>
      </c>
      <c r="B55" s="11" t="inlineStr">
        <is>
          <t>REQ-STAT-06</t>
        </is>
      </c>
      <c r="C55" s="11" t="inlineStr">
        <is>
          <t>农户查看个人数据；篡改 ID</t>
        </is>
      </c>
      <c r="D55" s="11" t="inlineStr">
        <is>
          <t>P1</t>
        </is>
      </c>
      <c r="E55" s="11" t="inlineStr">
        <is>
          <t>A</t>
        </is>
      </c>
      <c r="F55" s="11" t="inlineStr">
        <is>
          <t>⬜ 未执行</t>
        </is>
      </c>
      <c r="G55" s="11" t="inlineStr"/>
      <c r="H55" s="11" t="inlineStr"/>
    </row>
    <row r="56" ht="48" customHeight="1">
      <c r="A56" s="11" t="inlineStr">
        <is>
          <t>TC-STAT-07</t>
        </is>
      </c>
      <c r="B56" s="11" t="inlineStr">
        <is>
          <t>REQ-STAT-07</t>
        </is>
      </c>
      <c r="C56" s="11" t="inlineStr">
        <is>
          <t>注入 2% 差异后对账；重算 2 次</t>
        </is>
      </c>
      <c r="D56" s="11" t="inlineStr">
        <is>
          <t>P1</t>
        </is>
      </c>
      <c r="E56" s="11" t="inlineStr">
        <is>
          <t>A</t>
        </is>
      </c>
      <c r="F56" s="11" t="inlineStr">
        <is>
          <t>⬜ 未执行</t>
        </is>
      </c>
      <c r="G56" s="11" t="inlineStr"/>
      <c r="H56" s="11" t="inlineStr"/>
    </row>
    <row r="57" ht="48" customHeight="1">
      <c r="A57" s="11" t="inlineStr">
        <is>
          <t>TC-AUTH-01</t>
        </is>
      </c>
      <c r="B57" s="11" t="inlineStr">
        <is>
          <t>REQ-AUTH-01</t>
        </is>
      </c>
      <c r="C57" s="11" t="inlineStr">
        <is>
          <t>4 角色分别登录，核对菜单/按钮/接口</t>
        </is>
      </c>
      <c r="D57" s="11" t="inlineStr">
        <is>
          <t>P0</t>
        </is>
      </c>
      <c r="E57" s="11" t="inlineStr">
        <is>
          <t>A</t>
        </is>
      </c>
      <c r="F57" s="11" t="inlineStr">
        <is>
          <t>⬜ 未执行</t>
        </is>
      </c>
      <c r="G57" s="11" t="inlineStr"/>
      <c r="H57" s="11" t="inlineStr"/>
    </row>
    <row r="58" ht="48" customHeight="1">
      <c r="A58" s="11" t="inlineStr">
        <is>
          <t>TC-AUTH-02</t>
        </is>
      </c>
      <c r="B58" s="11" t="inlineStr">
        <is>
          <t>REQ-AUTH-02</t>
        </is>
      </c>
      <c r="C58" s="11" t="inlineStr">
        <is>
          <t>①正确登录 ②连续 5 次错误 ③登出 ④改密</t>
        </is>
      </c>
      <c r="D58" s="11" t="inlineStr">
        <is>
          <t>P0</t>
        </is>
      </c>
      <c r="E58" s="11" t="inlineStr">
        <is>
          <t>A</t>
        </is>
      </c>
      <c r="F58" s="11" t="inlineStr">
        <is>
          <t>⬜ 未执行</t>
        </is>
      </c>
      <c r="G58" s="11" t="inlineStr"/>
      <c r="H58" s="11" t="inlineStr"/>
    </row>
    <row r="59" ht="48" customHeight="1">
      <c r="A59" s="11" t="inlineStr">
        <is>
          <t>TC-AUTH-03</t>
        </is>
      </c>
      <c r="B59" s="11" t="inlineStr">
        <is>
          <t>REQ-AUTH-03</t>
        </is>
      </c>
      <c r="C59" s="11" t="inlineStr">
        <is>
          <t>无 token / 错角色 / 过期 token 访问</t>
        </is>
      </c>
      <c r="D59" s="11" t="inlineStr">
        <is>
          <t>P0</t>
        </is>
      </c>
      <c r="E59" s="11" t="inlineStr">
        <is>
          <t>A</t>
        </is>
      </c>
      <c r="F59" s="11" t="inlineStr">
        <is>
          <t>⬜ 未执行</t>
        </is>
      </c>
      <c r="G59" s="11" t="inlineStr"/>
      <c r="H59" s="11" t="inlineStr"/>
    </row>
    <row r="60" ht="48" customHeight="1">
      <c r="A60" s="11" t="inlineStr">
        <is>
          <t>TC-AUTH-04</t>
        </is>
      </c>
      <c r="B60" s="11" t="inlineStr">
        <is>
          <t>REQ-AUTH-03、REQ-AUTH-04</t>
        </is>
      </c>
      <c r="C60" s="11" t="inlineStr">
        <is>
          <t>横向越权 20 条（预约/排队/农户/统计/通知 ID 替换）</t>
        </is>
      </c>
      <c r="D60" s="11" t="inlineStr">
        <is>
          <t>P0</t>
        </is>
      </c>
      <c r="E60" s="11" t="inlineStr">
        <is>
          <t>S</t>
        </is>
      </c>
      <c r="F60" s="11" t="inlineStr">
        <is>
          <t>⬜ 未执行</t>
        </is>
      </c>
      <c r="G60" s="11" t="inlineStr"/>
      <c r="H60" s="11" t="inlineStr"/>
    </row>
    <row r="61" ht="48" customHeight="1">
      <c r="A61" s="11" t="inlineStr">
        <is>
          <t>TC-AUTH-05</t>
        </is>
      </c>
      <c r="B61" s="11" t="inlineStr">
        <is>
          <t>REQ-AUTH-03、REQ-AUTH-04</t>
        </is>
      </c>
      <c r="C61" s="11" t="inlineStr">
        <is>
          <t>纵向越权 15 条（农户调管理接口、统计员写操作）</t>
        </is>
      </c>
      <c r="D61" s="11" t="inlineStr">
        <is>
          <t>P0</t>
        </is>
      </c>
      <c r="E61" s="11" t="inlineStr">
        <is>
          <t>S</t>
        </is>
      </c>
      <c r="F61" s="11" t="inlineStr">
        <is>
          <t>⬜ 未执行</t>
        </is>
      </c>
      <c r="G61" s="11" t="inlineStr"/>
      <c r="H61" s="11" t="inlineStr"/>
    </row>
    <row r="62" ht="48" customHeight="1">
      <c r="A62" s="11" t="inlineStr">
        <is>
          <t>TC-AUTH-06</t>
        </is>
      </c>
      <c r="B62" s="11" t="inlineStr">
        <is>
          <t>REQ-AUTH-05</t>
        </is>
      </c>
      <c r="C62" s="11" t="inlineStr">
        <is>
          <t>执行 10 个敏感操作后查日志</t>
        </is>
      </c>
      <c r="D62" s="11" t="inlineStr">
        <is>
          <t>P0</t>
        </is>
      </c>
      <c r="E62" s="11" t="inlineStr">
        <is>
          <t>A</t>
        </is>
      </c>
      <c r="F62" s="11" t="inlineStr">
        <is>
          <t>⬜ 未执行</t>
        </is>
      </c>
      <c r="G62" s="11" t="inlineStr"/>
      <c r="H62" s="11" t="inlineStr"/>
    </row>
    <row r="63" ht="48" customHeight="1">
      <c r="A63" s="11" t="inlineStr">
        <is>
          <t>TC-AUTH-07</t>
        </is>
      </c>
      <c r="B63" s="11" t="inlineStr">
        <is>
          <t>REQ-AUTH-06</t>
        </is>
      </c>
      <c r="C63" s="11" t="inlineStr">
        <is>
          <t>组合查询 100 万条；未二次验证导出；验证后导出</t>
        </is>
      </c>
      <c r="D63" s="11" t="inlineStr">
        <is>
          <t>P1</t>
        </is>
      </c>
      <c r="E63" s="11" t="inlineStr">
        <is>
          <t>A+P</t>
        </is>
      </c>
      <c r="F63" s="11" t="inlineStr">
        <is>
          <t>⬜ 未执行</t>
        </is>
      </c>
      <c r="G63" s="11" t="inlineStr"/>
      <c r="H63" s="11" t="inlineStr"/>
    </row>
    <row r="64" ht="48" customHeight="1">
      <c r="A64" s="11" t="inlineStr">
        <is>
          <t>TC-AUTH-08</t>
        </is>
      </c>
      <c r="B64" s="11" t="inlineStr">
        <is>
          <t>REQ-AUTH-07</t>
        </is>
      </c>
      <c r="C64" s="11" t="inlineStr">
        <is>
          <t>5 类敏感操作；连续 3 次错误动态码；5 分钟后复用 token</t>
        </is>
      </c>
      <c r="D64" s="11" t="inlineStr">
        <is>
          <t>P0</t>
        </is>
      </c>
      <c r="E64" s="11" t="inlineStr">
        <is>
          <t>A</t>
        </is>
      </c>
      <c r="F64" s="11" t="inlineStr">
        <is>
          <t>⬜ 未执行</t>
        </is>
      </c>
      <c r="G64" s="11" t="inlineStr"/>
      <c r="H64" s="11" t="inlineStr"/>
    </row>
    <row r="65" ht="48" customHeight="1">
      <c r="A65" s="11" t="inlineStr">
        <is>
          <t>TC-AUTH-09</t>
        </is>
      </c>
      <c r="B65" s="11" t="inlineStr">
        <is>
          <t>REQ-AUTH-08、NFR-SAFE-04</t>
        </is>
      </c>
      <c r="C65" s="11" t="inlineStr">
        <is>
          <t>直接改库 1 条日志；跑校验任务；查留存策略与应用账号权限</t>
        </is>
      </c>
      <c r="D65" s="11" t="inlineStr">
        <is>
          <t>P0</t>
        </is>
      </c>
      <c r="E65" s="11" t="inlineStr">
        <is>
          <t>S</t>
        </is>
      </c>
      <c r="F65" s="11" t="inlineStr">
        <is>
          <t>⬜ 未执行</t>
        </is>
      </c>
      <c r="G65" s="11" t="inlineStr"/>
      <c r="H65" s="11" t="inlineStr"/>
    </row>
    <row r="66" ht="48" customHeight="1">
      <c r="A66" s="11" t="inlineStr">
        <is>
          <t>TC-RAG-01</t>
        </is>
      </c>
      <c r="B66" s="11" t="inlineStr">
        <is>
          <t>REQ-RAG-01</t>
        </is>
      </c>
      <c r="C66" s="11" t="inlineStr">
        <is>
          <t>①21MB ②`.exe` ③损坏 PDF ④合法 PDF</t>
        </is>
      </c>
      <c r="D66" s="11" t="inlineStr">
        <is>
          <t>P0</t>
        </is>
      </c>
      <c r="E66" s="11" t="inlineStr">
        <is>
          <t>A</t>
        </is>
      </c>
      <c r="F66" s="11" t="inlineStr">
        <is>
          <t>⬜ 未执行</t>
        </is>
      </c>
      <c r="G66" s="11" t="inlineStr"/>
      <c r="H66" s="11" t="inlineStr"/>
    </row>
    <row r="67" ht="48" customHeight="1">
      <c r="A67" s="11" t="inlineStr">
        <is>
          <t>TC-RAG-02</t>
        </is>
      </c>
      <c r="B67" s="11" t="inlineStr">
        <is>
          <t>REQ-RAG-02</t>
        </is>
      </c>
      <c r="C67" s="11" t="inlineStr">
        <is>
          <t>上传规则文档，检查分块与检索</t>
        </is>
      </c>
      <c r="D67" s="11" t="inlineStr">
        <is>
          <t>P0</t>
        </is>
      </c>
      <c r="E67" s="11" t="inlineStr">
        <is>
          <t>A</t>
        </is>
      </c>
      <c r="F67" s="11" t="inlineStr">
        <is>
          <t>⬜ 未执行</t>
        </is>
      </c>
      <c r="G67" s="11" t="inlineStr"/>
      <c r="H67" s="11" t="inlineStr"/>
    </row>
    <row r="68" ht="48" customHeight="1">
      <c r="A68" s="11" t="inlineStr">
        <is>
          <t>TC-RAG-03</t>
        </is>
      </c>
      <c r="B68" s="11" t="inlineStr">
        <is>
          <t>REQ-RAG-03</t>
        </is>
      </c>
      <c r="C68" s="11" t="inlineStr">
        <is>
          <t>停用 → 检索；回滚版本</t>
        </is>
      </c>
      <c r="D68" s="11" t="inlineStr">
        <is>
          <t>P1</t>
        </is>
      </c>
      <c r="E68" s="11" t="inlineStr">
        <is>
          <t>A</t>
        </is>
      </c>
      <c r="F68" s="11" t="inlineStr">
        <is>
          <t>⬜ 未执行</t>
        </is>
      </c>
      <c r="G68" s="11" t="inlineStr"/>
      <c r="H68" s="11" t="inlineStr"/>
    </row>
    <row r="69" ht="48" customHeight="1">
      <c r="A69" s="11" t="inlineStr">
        <is>
          <t>TC-RAG-04</t>
        </is>
      </c>
      <c r="B69" s="11" t="inlineStr">
        <is>
          <t>REQ-RAG-04</t>
        </is>
      </c>
      <c r="C69" s="11" t="inlineStr">
        <is>
          <t>问"开播前多久可以改期？"</t>
        </is>
      </c>
      <c r="D69" s="11" t="inlineStr">
        <is>
          <t>P0</t>
        </is>
      </c>
      <c r="E69" s="11" t="inlineStr">
        <is>
          <t>A+P</t>
        </is>
      </c>
      <c r="F69" s="11" t="inlineStr">
        <is>
          <t>⬜ 未执行</t>
        </is>
      </c>
      <c r="G69" s="11" t="inlineStr"/>
      <c r="H69" s="11" t="inlineStr"/>
    </row>
    <row r="70" ht="48" customHeight="1">
      <c r="A70" s="11" t="inlineStr">
        <is>
          <t>TC-RAG-05</t>
        </is>
      </c>
      <c r="B70" s="11" t="inlineStr">
        <is>
          <t>REQ-RAG-04、REQ-RAG-06</t>
        </is>
      </c>
      <c r="C70" s="11" t="inlineStr">
        <is>
          <t>①问知识库外问题 ②连续 2 次未解决 ③点转人工</t>
        </is>
      </c>
      <c r="D70" s="11" t="inlineStr">
        <is>
          <t>P0</t>
        </is>
      </c>
      <c r="E70" s="11" t="inlineStr">
        <is>
          <t>A</t>
        </is>
      </c>
      <c r="F70" s="11" t="inlineStr">
        <is>
          <t>⬜ 未执行</t>
        </is>
      </c>
      <c r="G70" s="11" t="inlineStr"/>
      <c r="H70" s="11" t="inlineStr"/>
    </row>
    <row r="71" ht="48" customHeight="1">
      <c r="A71" s="11" t="inlineStr">
        <is>
          <t>TC-RAG-06</t>
        </is>
      </c>
      <c r="B71" s="11" t="inlineStr">
        <is>
          <t>REQ-RAG-05</t>
        </is>
      </c>
      <c r="C71" s="11" t="inlineStr">
        <is>
          <t>①"帮我取消明天预约" ②20 条提示词注入</t>
        </is>
      </c>
      <c r="D71" s="11" t="inlineStr">
        <is>
          <t>P0</t>
        </is>
      </c>
      <c r="E71" s="11" t="inlineStr">
        <is>
          <t>S</t>
        </is>
      </c>
      <c r="F71" s="11" t="inlineStr">
        <is>
          <t>⬜ 未执行</t>
        </is>
      </c>
      <c r="G71" s="11" t="inlineStr"/>
      <c r="H71" s="11" t="inlineStr"/>
    </row>
    <row r="72" ht="48" customHeight="1">
      <c r="A72" s="11" t="inlineStr">
        <is>
          <t>TC-RAG-07</t>
        </is>
      </c>
      <c r="B72" s="11" t="inlineStr">
        <is>
          <t>REQ-RAG-07</t>
        </is>
      </c>
      <c r="C72" s="11" t="inlineStr">
        <is>
          <t>跑 50 题评测；人为降低检索质量再跑</t>
        </is>
      </c>
      <c r="D72" s="11" t="inlineStr">
        <is>
          <t>P1</t>
        </is>
      </c>
      <c r="E72" s="11" t="inlineStr">
        <is>
          <t>A</t>
        </is>
      </c>
      <c r="F72" s="11" t="inlineStr">
        <is>
          <t>⬜ 未执行</t>
        </is>
      </c>
      <c r="G72" s="11" t="inlineStr"/>
      <c r="H72" s="11" t="inlineStr"/>
    </row>
    <row r="73" ht="48" customHeight="1">
      <c r="A73" s="11" t="inlineStr">
        <is>
          <t>TC-NFR-01</t>
        </is>
      </c>
      <c r="B73" s="11" t="inlineStr">
        <is>
          <t>NFR-PERF-01</t>
        </is>
      </c>
      <c r="C73" s="11" t="inlineStr">
        <is>
          <t>200 并发浏览、20 TPS 提交、统计查询</t>
        </is>
      </c>
      <c r="D73" s="11" t="inlineStr">
        <is>
          <t>P0</t>
        </is>
      </c>
      <c r="E73" s="11" t="inlineStr">
        <is>
          <t>P</t>
        </is>
      </c>
      <c r="F73" s="11" t="inlineStr">
        <is>
          <t>⬜ 未执行</t>
        </is>
      </c>
      <c r="G73" s="11" t="inlineStr"/>
      <c r="H73" s="11" t="inlineStr"/>
    </row>
    <row r="74" ht="48" customHeight="1">
      <c r="A74" s="11" t="inlineStr">
        <is>
          <t>TC-NFR-02</t>
        </is>
      </c>
      <c r="B74" s="11" t="inlineStr">
        <is>
          <t>NFR-PERF-02</t>
        </is>
      </c>
      <c r="C74" s="11" t="inlineStr">
        <is>
          <t>100 并发同段 + 50 并发排队</t>
        </is>
      </c>
      <c r="D74" s="11" t="inlineStr">
        <is>
          <t>P0</t>
        </is>
      </c>
      <c r="E74" s="11" t="inlineStr">
        <is>
          <t>P</t>
        </is>
      </c>
      <c r="F74" s="11" t="inlineStr">
        <is>
          <t>⬜ 未执行</t>
        </is>
      </c>
      <c r="G74" s="11" t="inlineStr"/>
      <c r="H74" s="11" t="inlineStr"/>
    </row>
    <row r="75" ht="48" customHeight="1">
      <c r="A75" s="11" t="inlineStr">
        <is>
          <t>TC-NFR-03</t>
        </is>
      </c>
      <c r="B75" s="11" t="inlineStr">
        <is>
          <t>NFR-SAFE-01、NFR-SAFE-02、NFR-SAFE-03</t>
        </is>
      </c>
      <c r="C75" s="11" t="inlineStr">
        <is>
          <t>查库字段；抓包；导出；日志；AI 请求</t>
        </is>
      </c>
      <c r="D75" s="11" t="inlineStr">
        <is>
          <t>P0</t>
        </is>
      </c>
      <c r="E75" s="11" t="inlineStr">
        <is>
          <t>S</t>
        </is>
      </c>
      <c r="F75" s="11" t="inlineStr">
        <is>
          <t>⬜ 未执行</t>
        </is>
      </c>
      <c r="G75" s="11" t="inlineStr"/>
      <c r="H75" s="11" t="inlineStr"/>
    </row>
    <row r="76" ht="48" customHeight="1">
      <c r="A76" s="11" t="inlineStr">
        <is>
          <t>TC-NFR-04</t>
        </is>
      </c>
      <c r="B76" s="11" t="inlineStr">
        <is>
          <t>NFR-COMPAT-01</t>
        </is>
      </c>
      <c r="C76" s="11" t="inlineStr">
        <is>
          <t>Chrome/Edge/Firefox 最近 2 版；1366×768；375px</t>
        </is>
      </c>
      <c r="D76" s="11" t="inlineStr">
        <is>
          <t>P0</t>
        </is>
      </c>
      <c r="E76" s="11" t="inlineStr">
        <is>
          <t>M</t>
        </is>
      </c>
      <c r="F76" s="11" t="inlineStr">
        <is>
          <t>⬜ 未执行</t>
        </is>
      </c>
      <c r="G76" s="11" t="inlineStr"/>
      <c r="H76" s="11" t="inlineStr"/>
    </row>
    <row r="77" ht="48" customHeight="1">
      <c r="A77" s="11" t="inlineStr">
        <is>
          <t>TC-NFR-05</t>
        </is>
      </c>
      <c r="B77" s="11" t="inlineStr">
        <is>
          <t>NFR-MAINT-01、NFR-EXT-01</t>
        </is>
      </c>
      <c r="C77" s="11" t="inlineStr">
        <is>
          <t>cloc、JaCoCo、Sonar；容量评估</t>
        </is>
      </c>
      <c r="D77" s="11" t="inlineStr">
        <is>
          <t>P0</t>
        </is>
      </c>
      <c r="E77" s="11" t="inlineStr">
        <is>
          <t>A</t>
        </is>
      </c>
      <c r="F77" s="11" t="inlineStr">
        <is>
          <t>⬜ 未执行</t>
        </is>
      </c>
      <c r="G77" s="11" t="inlineStr"/>
      <c r="H77" s="11" t="inlineStr"/>
    </row>
    <row r="78" ht="48" customHeight="1">
      <c r="A78" s="11" t="inlineStr">
        <is>
          <t>TC-NFR-06</t>
        </is>
      </c>
      <c r="B78" s="11" t="inlineStr">
        <is>
          <t>NFR-UX-01</t>
        </is>
      </c>
      <c r="C78" s="11" t="inlineStr">
        <is>
          <t>5 名同学完成预约/排队/候补任务</t>
        </is>
      </c>
      <c r="D78" s="11" t="inlineStr">
        <is>
          <t>P1</t>
        </is>
      </c>
      <c r="E78" s="11" t="inlineStr">
        <is>
          <t>M</t>
        </is>
      </c>
      <c r="F78" s="11" t="inlineStr">
        <is>
          <t>⬜ 未执行</t>
        </is>
      </c>
      <c r="G78" s="11" t="inlineStr"/>
      <c r="H78" s="11" t="inlineStr"/>
    </row>
    <row r="79" ht="48" customHeight="1">
      <c r="A79" s="11" t="inlineStr">
        <is>
          <t>TC-NFR-07</t>
        </is>
      </c>
      <c r="B79" s="11" t="inlineStr">
        <is>
          <t>NFR-OBS-01</t>
        </is>
      </c>
      <c r="C79" s="11" t="inlineStr">
        <is>
          <t>发起请求，查日志与告警</t>
        </is>
      </c>
      <c r="D79" s="11" t="inlineStr">
        <is>
          <t>P1</t>
        </is>
      </c>
      <c r="E79" s="11" t="inlineStr">
        <is>
          <t>M</t>
        </is>
      </c>
      <c r="F79" s="11" t="inlineStr">
        <is>
          <t>⬜ 未执行</t>
        </is>
      </c>
      <c r="G79" s="11" t="inlineStr"/>
      <c r="H79" s="11" t="inlineStr"/>
    </row>
    <row r="80" ht="48" customHeight="1">
      <c r="A80" s="11" t="inlineStr">
        <is>
          <t>TC-NFR-08</t>
        </is>
      </c>
      <c r="B80" s="11" t="inlineStr">
        <is>
          <t>NFR-AVAIL-01</t>
        </is>
      </c>
      <c r="C80" s="11" t="inlineStr">
        <is>
          <t>备份→删库→恢复→校验</t>
        </is>
      </c>
      <c r="D80" s="11" t="inlineStr">
        <is>
          <t>P0</t>
        </is>
      </c>
      <c r="E80" s="11" t="inlineStr">
        <is>
          <t>M</t>
        </is>
      </c>
      <c r="F80" s="11" t="inlineStr">
        <is>
          <t>⬜ 未执行</t>
        </is>
      </c>
      <c r="G80" s="11" t="inlineStr"/>
      <c r="H80" s="11" t="inlineStr"/>
    </row>
  </sheetData>
  <autoFilter ref="A2:H80"/>
  <mergeCells count="1">
    <mergeCell ref="A1:H1"/>
  </mergeCells>
  <conditionalFormatting sqref="D3:D80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dataValidations count="1">
    <dataValidation sqref="F3:F80" showDropDown="0" showInputMessage="0" showErrorMessage="0" allowBlank="1" type="list">
      <formula1>"⬜ 未执行,✅ 通过,❌ 失败,⏸ 阻塞"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8" customWidth="1" min="4" max="4"/>
    <col width="40" customWidth="1" min="5" max="5"/>
    <col width="18" customWidth="1" min="6" max="6"/>
    <col width="12" customWidth="1" min="7" max="7"/>
  </cols>
  <sheetData>
    <row r="1" ht="34" customHeight="1">
      <c r="A1" s="9" t="inlineStr">
        <is>
          <t>变更台账 · C1 重大 / C2 一般 / C3 轻微 / C4 紧急</t>
        </is>
      </c>
    </row>
    <row r="2" ht="30" customHeight="1">
      <c r="A2" s="10" t="inlineStr">
        <is>
          <t>变更编号</t>
        </is>
      </c>
      <c r="B2" s="10" t="inlineStr">
        <is>
          <t>日期</t>
        </is>
      </c>
      <c r="C2" s="10" t="inlineStr">
        <is>
          <t>变更内容</t>
        </is>
      </c>
      <c r="D2" s="10" t="inlineStr">
        <is>
          <t>级别</t>
        </is>
      </c>
      <c r="E2" s="10" t="inlineStr">
        <is>
          <t>影响分析</t>
        </is>
      </c>
      <c r="F2" s="10" t="inlineStr">
        <is>
          <t>审批</t>
        </is>
      </c>
      <c r="G2" s="10" t="inlineStr">
        <is>
          <t>状态</t>
        </is>
      </c>
    </row>
    <row r="3" ht="38" customHeight="1">
      <c r="A3" s="11" t="inlineStr">
        <is>
          <t>CR-20261019-01</t>
        </is>
      </c>
      <c r="B3" s="11" t="inlineStr">
        <is>
          <t>2026-10-19</t>
        </is>
      </c>
      <c r="C3" s="11" t="inlineStr">
        <is>
          <t>权限骨架前置到 S1（原计划最后）</t>
        </is>
      </c>
      <c r="D3" s="11" t="inlineStr">
        <is>
          <t>C1</t>
        </is>
      </c>
      <c r="E3" s="11" t="inlineStr">
        <is>
          <t>排期微调，S4 仍保留完整审计</t>
        </is>
      </c>
      <c r="F3" s="11" t="inlineStr">
        <is>
          <t>P1/P2/P5 已批准</t>
        </is>
      </c>
      <c r="G3" s="11" t="inlineStr">
        <is>
          <t>✅ 已批准</t>
        </is>
      </c>
    </row>
    <row r="4" ht="38" customHeight="1">
      <c r="A4" s="11" t="inlineStr">
        <is>
          <t>CR-20261019-02</t>
        </is>
      </c>
      <c r="B4" s="11" t="inlineStr">
        <is>
          <t>2026-10-19</t>
        </is>
      </c>
      <c r="C4" s="11" t="inlineStr">
        <is>
          <t>预约必须绑定设备与场地（Q2 默认决策）</t>
        </is>
      </c>
      <c r="D4" s="11" t="inlineStr">
        <is>
          <t>C1</t>
        </is>
      </c>
      <c r="E4" s="11" t="inlineStr">
        <is>
          <t>预约/冲突/排队设计</t>
        </is>
      </c>
      <c r="F4" s="11" t="inlineStr">
        <is>
          <t>待 G1 确认</t>
        </is>
      </c>
      <c r="G4" s="11" t="inlineStr">
        <is>
          <t>🟡 待批</t>
        </is>
      </c>
    </row>
    <row r="5" ht="38" customHeight="1">
      <c r="A5" s="11" t="inlineStr">
        <is>
          <t>CR-20261019-03</t>
        </is>
      </c>
      <c r="B5" s="11" t="inlineStr">
        <is>
          <t>2026-10-19</t>
        </is>
      </c>
      <c r="C5" s="11" t="inlineStr">
        <is>
          <t>销量 V1 改为手工录入/导入（Q1）</t>
        </is>
      </c>
      <c r="D5" s="11" t="inlineStr">
        <is>
          <t>C1</t>
        </is>
      </c>
      <c r="E5" s="11" t="inlineStr">
        <is>
          <t>统计口径与页面</t>
        </is>
      </c>
      <c r="F5" s="11" t="inlineStr">
        <is>
          <t>待 G1 确认</t>
        </is>
      </c>
      <c r="G5" s="11" t="inlineStr">
        <is>
          <t>🟡 待批</t>
        </is>
      </c>
    </row>
    <row r="6" ht="38" customHeight="1">
      <c r="A6" s="11" t="inlineStr">
        <is>
          <t>CR-20261019-04</t>
        </is>
      </c>
      <c r="B6" s="11" t="inlineStr">
        <is>
          <t>2026-10-19</t>
        </is>
      </c>
      <c r="C6" s="11" t="inlineStr">
        <is>
          <t>候补 TTL = min(24h, 开播前 2h)（Q3）</t>
        </is>
      </c>
      <c r="D6" s="11" t="inlineStr">
        <is>
          <t>C2</t>
        </is>
      </c>
      <c r="E6" s="11" t="inlineStr">
        <is>
          <t>排队规则与用例</t>
        </is>
      </c>
      <c r="F6" s="11" t="inlineStr">
        <is>
          <t>P1/P2 已批准</t>
        </is>
      </c>
      <c r="G6" s="11" t="inlineStr">
        <is>
          <t>✅ 已批准</t>
        </is>
      </c>
    </row>
  </sheetData>
  <autoFilter ref="A2:G6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52" customWidth="1" min="3" max="3"/>
    <col width="10" customWidth="1" min="4" max="4"/>
    <col width="8" customWidth="1" min="5" max="5"/>
    <col width="12" customWidth="1" min="6" max="6"/>
  </cols>
  <sheetData>
    <row r="1" ht="34" customHeight="1">
      <c r="A1" s="9" t="inlineStr">
        <is>
          <t>待确认项 · G1 前需闭环 Q1–Q4</t>
        </is>
      </c>
    </row>
    <row r="2" ht="30" customHeight="1">
      <c r="A2" s="10" t="inlineStr">
        <is>
          <t>编号</t>
        </is>
      </c>
      <c r="B2" s="10" t="inlineStr">
        <is>
          <t>问题</t>
        </is>
      </c>
      <c r="C2" s="10" t="inlineStr">
        <is>
          <t>默认决策</t>
        </is>
      </c>
      <c r="D2" s="10" t="inlineStr">
        <is>
          <t>责任人</t>
        </is>
      </c>
      <c r="E2" s="10" t="inlineStr">
        <is>
          <t>截止</t>
        </is>
      </c>
      <c r="F2" s="10" t="inlineStr">
        <is>
          <t>状态</t>
        </is>
      </c>
    </row>
    <row r="3" ht="38" customHeight="1">
      <c r="A3" s="11" t="inlineStr">
        <is>
          <t>Q1</t>
        </is>
      </c>
      <c r="B3" s="11" t="inlineStr">
        <is>
          <t>“直播关联农产品销量”的数据从哪来？</t>
        </is>
      </c>
      <c r="C3" s="11" t="inlineStr">
        <is>
          <t>V1 管理员按场次手工录入/CSV 导入，页面标注来源；V1.1 再对接</t>
        </is>
      </c>
      <c r="D3" s="11" t="inlineStr">
        <is>
          <t>P1</t>
        </is>
      </c>
      <c r="E3" s="11" t="inlineStr">
        <is>
          <t>G1</t>
        </is>
      </c>
      <c r="F3" s="11" t="inlineStr">
        <is>
          <t>🟡 待确认</t>
        </is>
      </c>
    </row>
    <row r="4" ht="38" customHeight="1">
      <c r="A4" s="11" t="inlineStr">
        <is>
          <t>Q2</t>
        </is>
      </c>
      <c r="B4" s="11" t="inlineStr">
        <is>
          <t>预约时是否必须指定设备？原型表单未出现设备/场地</t>
        </is>
      </c>
      <c r="C4" s="11" t="inlineStr">
        <is>
          <t>必须绑定 1 台设备 + 1 个场地；前端按县域推荐空闲资源</t>
        </is>
      </c>
      <c r="D4" s="11" t="inlineStr">
        <is>
          <t>P1/P2</t>
        </is>
      </c>
      <c r="E4" s="11" t="inlineStr">
        <is>
          <t>G1</t>
        </is>
      </c>
      <c r="F4" s="11" t="inlineStr">
        <is>
          <t>🟡 待确认</t>
        </is>
      </c>
    </row>
    <row r="5" ht="38" customHeight="1">
      <c r="A5" s="11" t="inlineStr">
        <is>
          <t>Q3</t>
        </is>
      </c>
      <c r="B5" s="11" t="inlineStr">
        <is>
          <t>候补“规定时间”具体多久？原型写 24 小时</t>
        </is>
      </c>
      <c r="C5" s="11" t="inlineStr">
        <is>
          <t>TTL = min(24h, 开播前 2h)；剩余 &lt;30min 不发起候补</t>
        </is>
      </c>
      <c r="D5" s="11" t="inlineStr">
        <is>
          <t>P1</t>
        </is>
      </c>
      <c r="E5" s="11" t="inlineStr">
        <is>
          <t>G1</t>
        </is>
      </c>
      <c r="F5" s="11" t="inlineStr">
        <is>
          <t>🟡 待确认</t>
        </is>
      </c>
    </row>
    <row r="6" ht="38" customHeight="1">
      <c r="A6" s="11" t="inlineStr">
        <is>
          <t>Q4</t>
        </is>
      </c>
      <c r="B6" s="11" t="inlineStr">
        <is>
          <t>排队号序号按什么维度自增？</t>
        </is>
      </c>
      <c r="C6" s="11" t="inlineStr">
        <is>
          <t>按“设备 + 直播日期 + 时段”3 位左补零自增，全系统唯一</t>
        </is>
      </c>
      <c r="D6" s="11" t="inlineStr">
        <is>
          <t>P2</t>
        </is>
      </c>
      <c r="E6" s="11" t="inlineStr">
        <is>
          <t>G1</t>
        </is>
      </c>
      <c r="F6" s="11" t="inlineStr">
        <is>
          <t>🟡 待确认</t>
        </is>
      </c>
    </row>
    <row r="7" ht="38" customHeight="1">
      <c r="A7" s="11" t="inlineStr">
        <is>
          <t>Q5</t>
        </is>
      </c>
      <c r="B7" s="11" t="inlineStr">
        <is>
          <t>优先级（高/低）是否影响排队顺序？</t>
        </is>
      </c>
      <c r="C7" s="11" t="inlineStr">
        <is>
          <t>不影响；需求要求严格按申请时间排序，优先级仅作调度参考</t>
        </is>
      </c>
      <c r="D7" s="11" t="inlineStr">
        <is>
          <t>P1</t>
        </is>
      </c>
      <c r="E7" s="11" t="inlineStr">
        <is>
          <t>S2</t>
        </is>
      </c>
      <c r="F7" s="11" t="inlineStr">
        <is>
          <t>🟡 待确认</t>
        </is>
      </c>
    </row>
    <row r="8" ht="38" customHeight="1">
      <c r="A8" s="11" t="inlineStr">
        <is>
          <t>Q6</t>
        </is>
      </c>
      <c r="B8" s="11" t="inlineStr">
        <is>
          <t>短信通道是否具备真实资质？</t>
        </is>
      </c>
      <c r="C8" s="11" t="inlineStr">
        <is>
          <t>开发/测试用模拟网关；生产切阿里云；未报备模板禁止上线</t>
        </is>
      </c>
      <c r="D8" s="11" t="inlineStr">
        <is>
          <t>P5</t>
        </is>
      </c>
      <c r="E8" s="11" t="inlineStr">
        <is>
          <t>S2</t>
        </is>
      </c>
      <c r="F8" s="11" t="inlineStr">
        <is>
          <t>🟡 待确认</t>
        </is>
      </c>
    </row>
    <row r="9" ht="38" customHeight="1">
      <c r="A9" s="11" t="inlineStr">
        <is>
          <t>Q7</t>
        </is>
      </c>
      <c r="B9" s="11" t="inlineStr">
        <is>
          <t>LLM 用哪家、预算多少？</t>
        </is>
      </c>
      <c r="C9" s="11" t="inlineStr">
        <is>
          <t>主 DeepSeek-V3；备通义千问；Embedding 本地 bge-m3；月预算 ≤¥300</t>
        </is>
      </c>
      <c r="D9" s="11" t="inlineStr">
        <is>
          <t>P2</t>
        </is>
      </c>
      <c r="E9" s="11" t="inlineStr">
        <is>
          <t>S4</t>
        </is>
      </c>
      <c r="F9" s="11" t="inlineStr">
        <is>
          <t>🟡 待确认</t>
        </is>
      </c>
    </row>
    <row r="10" ht="38" customHeight="1">
      <c r="A10" s="11" t="inlineStr">
        <is>
          <t>Q8</t>
        </is>
      </c>
      <c r="B10" s="11" t="inlineStr">
        <is>
          <t>第三方助农平台同步是否必做？</t>
        </is>
      </c>
      <c r="C10" s="11" t="inlineStr">
        <is>
          <t>P2 可选；仅做适配器 + 开关，默认关闭，不阻塞主线</t>
        </is>
      </c>
      <c r="D10" s="11" t="inlineStr">
        <is>
          <t>P1</t>
        </is>
      </c>
      <c r="E10" s="11" t="inlineStr">
        <is>
          <t>S2</t>
        </is>
      </c>
      <c r="F10" s="11" t="inlineStr">
        <is>
          <t>🟡 待确认</t>
        </is>
      </c>
    </row>
  </sheetData>
  <autoFilter ref="A2:F10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8A96A"/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4" customWidth="1" min="6" max="6"/>
    <col width="16" customWidth="1" min="7" max="7"/>
    <col width="16" customWidth="1" min="8" max="8"/>
  </cols>
  <sheetData>
    <row r="1" ht="32" customHeight="1">
      <c r="A1" s="12" t="inlineStr">
        <is>
          <t>统计看板（公式自动汇总）</t>
        </is>
      </c>
    </row>
    <row r="3">
      <c r="A3" s="10" t="inlineStr">
        <is>
          <t>域</t>
        </is>
      </c>
      <c r="B3" s="10" t="inlineStr">
        <is>
          <t>需求数</t>
        </is>
      </c>
      <c r="C3" s="10" t="inlineStr">
        <is>
          <t>P0</t>
        </is>
      </c>
      <c r="D3" s="10" t="inlineStr">
        <is>
          <t>P1</t>
        </is>
      </c>
      <c r="E3" s="10" t="inlineStr">
        <is>
          <t>P2</t>
        </is>
      </c>
    </row>
    <row r="4">
      <c r="A4" s="13" t="inlineStr">
        <is>
          <t>BASE</t>
        </is>
      </c>
      <c r="B4" s="13">
        <f>COUNTIF('需求清单'!$B$3:$B$1000,A4)</f>
        <v/>
      </c>
      <c r="C4" s="13">
        <f>COUNTIFS('需求清单'!$B$3:$B$1000,A4,'需求清单'!$D$3:$D$1000,"P0")</f>
        <v/>
      </c>
      <c r="D4" s="13">
        <f>COUNTIFS('需求清单'!$B$3:$B$1000,A4,'需求清单'!$D$3:$D$1000,"P1")</f>
        <v/>
      </c>
      <c r="E4" s="13">
        <f>COUNTIFS('需求清单'!$B$3:$B$1000,A4,'需求清单'!$D$3:$D$1000,"P2")</f>
        <v/>
      </c>
    </row>
    <row r="5">
      <c r="A5" s="13" t="inlineStr">
        <is>
          <t>BOOK</t>
        </is>
      </c>
      <c r="B5" s="13">
        <f>COUNTIF('需求清单'!$B$3:$B$1000,A5)</f>
        <v/>
      </c>
      <c r="C5" s="13">
        <f>COUNTIFS('需求清单'!$B$3:$B$1000,A5,'需求清单'!$D$3:$D$1000,"P0")</f>
        <v/>
      </c>
      <c r="D5" s="13">
        <f>COUNTIFS('需求清单'!$B$3:$B$1000,A5,'需求清单'!$D$3:$D$1000,"P1")</f>
        <v/>
      </c>
      <c r="E5" s="13">
        <f>COUNTIFS('需求清单'!$B$3:$B$1000,A5,'需求清单'!$D$3:$D$1000,"P2")</f>
        <v/>
      </c>
    </row>
    <row r="6">
      <c r="A6" s="13" t="inlineStr">
        <is>
          <t>QUEUE</t>
        </is>
      </c>
      <c r="B6" s="13">
        <f>COUNTIF('需求清单'!$B$3:$B$1000,A6)</f>
        <v/>
      </c>
      <c r="C6" s="13">
        <f>COUNTIFS('需求清单'!$B$3:$B$1000,A6,'需求清单'!$D$3:$D$1000,"P0")</f>
        <v/>
      </c>
      <c r="D6" s="13">
        <f>COUNTIFS('需求清单'!$B$3:$B$1000,A6,'需求清单'!$D$3:$D$1000,"P1")</f>
        <v/>
      </c>
      <c r="E6" s="13">
        <f>COUNTIFS('需求清单'!$B$3:$B$1000,A6,'需求清单'!$D$3:$D$1000,"P2")</f>
        <v/>
      </c>
    </row>
    <row r="7">
      <c r="A7" s="13" t="inlineStr">
        <is>
          <t>NOTI</t>
        </is>
      </c>
      <c r="B7" s="13">
        <f>COUNTIF('需求清单'!$B$3:$B$1000,A7)</f>
        <v/>
      </c>
      <c r="C7" s="13">
        <f>COUNTIFS('需求清单'!$B$3:$B$1000,A7,'需求清单'!$D$3:$D$1000,"P0")</f>
        <v/>
      </c>
      <c r="D7" s="13">
        <f>COUNTIFS('需求清单'!$B$3:$B$1000,A7,'需求清单'!$D$3:$D$1000,"P1")</f>
        <v/>
      </c>
      <c r="E7" s="13">
        <f>COUNTIFS('需求清单'!$B$3:$B$1000,A7,'需求清单'!$D$3:$D$1000,"P2")</f>
        <v/>
      </c>
    </row>
    <row r="8">
      <c r="A8" s="13" t="inlineStr">
        <is>
          <t>STAT</t>
        </is>
      </c>
      <c r="B8" s="13">
        <f>COUNTIF('需求清单'!$B$3:$B$1000,A8)</f>
        <v/>
      </c>
      <c r="C8" s="13">
        <f>COUNTIFS('需求清单'!$B$3:$B$1000,A8,'需求清单'!$D$3:$D$1000,"P0")</f>
        <v/>
      </c>
      <c r="D8" s="13">
        <f>COUNTIFS('需求清单'!$B$3:$B$1000,A8,'需求清单'!$D$3:$D$1000,"P1")</f>
        <v/>
      </c>
      <c r="E8" s="13">
        <f>COUNTIFS('需求清单'!$B$3:$B$1000,A8,'需求清单'!$D$3:$D$1000,"P2")</f>
        <v/>
      </c>
    </row>
    <row r="9">
      <c r="A9" s="13" t="inlineStr">
        <is>
          <t>AUTH</t>
        </is>
      </c>
      <c r="B9" s="13">
        <f>COUNTIF('需求清单'!$B$3:$B$1000,A9)</f>
        <v/>
      </c>
      <c r="C9" s="13">
        <f>COUNTIFS('需求清单'!$B$3:$B$1000,A9,'需求清单'!$D$3:$D$1000,"P0")</f>
        <v/>
      </c>
      <c r="D9" s="13">
        <f>COUNTIFS('需求清单'!$B$3:$B$1000,A9,'需求清单'!$D$3:$D$1000,"P1")</f>
        <v/>
      </c>
      <c r="E9" s="13">
        <f>COUNTIFS('需求清单'!$B$3:$B$1000,A9,'需求清单'!$D$3:$D$1000,"P2")</f>
        <v/>
      </c>
    </row>
    <row r="10">
      <c r="A10" s="13" t="inlineStr">
        <is>
          <t>RAG</t>
        </is>
      </c>
      <c r="B10" s="13">
        <f>COUNTIF('需求清单'!$B$3:$B$1000,A10)</f>
        <v/>
      </c>
      <c r="C10" s="13">
        <f>COUNTIFS('需求清单'!$B$3:$B$1000,A10,'需求清单'!$D$3:$D$1000,"P0")</f>
        <v/>
      </c>
      <c r="D10" s="13">
        <f>COUNTIFS('需求清单'!$B$3:$B$1000,A10,'需求清单'!$D$3:$D$1000,"P1")</f>
        <v/>
      </c>
      <c r="E10" s="13">
        <f>COUNTIFS('需求清单'!$B$3:$B$1000,A10,'需求清单'!$D$3:$D$1000,"P2")</f>
        <v/>
      </c>
    </row>
    <row r="11">
      <c r="A11" s="13" t="inlineStr">
        <is>
          <t>NFR</t>
        </is>
      </c>
      <c r="B11" s="13">
        <f>COUNTIF('需求清单'!$B$3:$B$1000,A11)</f>
        <v/>
      </c>
      <c r="C11" s="13">
        <f>COUNTIFS('需求清单'!$B$3:$B$1000,A11,'需求清单'!$D$3:$D$1000,"P0")</f>
        <v/>
      </c>
      <c r="D11" s="13">
        <f>COUNTIFS('需求清单'!$B$3:$B$1000,A11,'需求清单'!$D$3:$D$1000,"P1")</f>
        <v/>
      </c>
      <c r="E11" s="13">
        <f>COUNTIFS('需求清单'!$B$3:$B$1000,A11,'需求清单'!$D$3:$D$1000,"P2")</f>
        <v/>
      </c>
    </row>
    <row r="12">
      <c r="A12" s="14" t="inlineStr">
        <is>
          <t>合计</t>
        </is>
      </c>
      <c r="B12" s="15">
        <f>SUM(B4:B11)</f>
        <v/>
      </c>
      <c r="C12" s="15">
        <f>SUM(C4:C11)</f>
        <v/>
      </c>
      <c r="D12" s="15">
        <f>SUM(D4:D11)</f>
        <v/>
      </c>
      <c r="E12" s="15">
        <f>SUM(E4:E11)</f>
        <v/>
      </c>
    </row>
    <row r="15">
      <c r="A15" s="10" t="inlineStr">
        <is>
          <t>迭代</t>
        </is>
      </c>
      <c r="B15" s="10" t="inlineStr">
        <is>
          <t>需求数</t>
        </is>
      </c>
      <c r="C15" s="10" t="inlineStr">
        <is>
          <t>P0</t>
        </is>
      </c>
    </row>
    <row r="16">
      <c r="A16" s="13" t="inlineStr">
        <is>
          <t>S1</t>
        </is>
      </c>
      <c r="B16" s="16">
        <f>COUNTIF('需求清单'!$E$3:$E$1000,A16)</f>
        <v/>
      </c>
      <c r="C16" s="16">
        <f>COUNTIFS('需求清单'!$E$3:$E$1000,A16,'需求清单'!$D$3:$D$1000,"P0")</f>
        <v/>
      </c>
    </row>
    <row r="17">
      <c r="A17" s="13" t="inlineStr">
        <is>
          <t>S2</t>
        </is>
      </c>
      <c r="B17" s="16">
        <f>COUNTIF('需求清单'!$E$3:$E$1000,A17)</f>
        <v/>
      </c>
      <c r="C17" s="16">
        <f>COUNTIFS('需求清单'!$E$3:$E$1000,A17,'需求清单'!$D$3:$D$1000,"P0")</f>
        <v/>
      </c>
    </row>
    <row r="18">
      <c r="A18" s="13" t="inlineStr">
        <is>
          <t>S3</t>
        </is>
      </c>
      <c r="B18" s="16">
        <f>COUNTIF('需求清单'!$E$3:$E$1000,A18)</f>
        <v/>
      </c>
      <c r="C18" s="16">
        <f>COUNTIFS('需求清单'!$E$3:$E$1000,A18,'需求清单'!$D$3:$D$1000,"P0")</f>
        <v/>
      </c>
    </row>
    <row r="19">
      <c r="A19" s="13" t="inlineStr">
        <is>
          <t>S4</t>
        </is>
      </c>
      <c r="B19" s="16">
        <f>COUNTIF('需求清单'!$E$3:$E$1000,A19)</f>
        <v/>
      </c>
      <c r="C19" s="16">
        <f>COUNTIFS('需求清单'!$E$3:$E$1000,A19,'需求清单'!$D$3:$D$1000,"P0")</f>
        <v/>
      </c>
    </row>
    <row r="20">
      <c r="A20" s="13" t="inlineStr">
        <is>
          <t>S5</t>
        </is>
      </c>
      <c r="B20" s="16">
        <f>COUNTIF('需求清单'!$E$3:$E$1000,A20)</f>
        <v/>
      </c>
      <c r="C20" s="16">
        <f>COUNTIFS('需求清单'!$E$3:$E$1000,A20,'需求清单'!$D$3:$D$1000,"P0")</f>
        <v/>
      </c>
    </row>
    <row r="23">
      <c r="A23" s="10" t="inlineStr">
        <is>
          <t>状态</t>
        </is>
      </c>
      <c r="B23" s="10" t="inlineStr">
        <is>
          <t>数量</t>
        </is>
      </c>
    </row>
    <row r="24">
      <c r="A24" s="13" t="inlineStr">
        <is>
          <t>⬜ 未开始</t>
        </is>
      </c>
      <c r="B24" s="16">
        <f>COUNTIF('需求清单'!$J$3:$J$1000,A24)</f>
        <v/>
      </c>
    </row>
    <row r="25">
      <c r="A25" s="13" t="inlineStr">
        <is>
          <t>🔨 开发中</t>
        </is>
      </c>
      <c r="B25" s="16">
        <f>COUNTIF('需求清单'!$J$3:$J$1000,A25)</f>
        <v/>
      </c>
    </row>
    <row r="26">
      <c r="A26" s="13" t="inlineStr">
        <is>
          <t>🟡 待测</t>
        </is>
      </c>
      <c r="B26" s="16">
        <f>COUNTIF('需求清单'!$J$3:$J$1000,A26)</f>
        <v/>
      </c>
    </row>
    <row r="27">
      <c r="A27" s="13" t="inlineStr">
        <is>
          <t>✅ 已验收</t>
        </is>
      </c>
      <c r="B27" s="16">
        <f>COUNTIF('需求清单'!$J$3:$J$1000,A27)</f>
        <v/>
      </c>
    </row>
    <row r="28">
      <c r="A28" s="13" t="inlineStr">
        <is>
          <t>⛔ 阻塞</t>
        </is>
      </c>
      <c r="B28" s="16">
        <f>COUNTIF('需求清单'!$J$3:$J$1000,A28)</f>
        <v/>
      </c>
    </row>
  </sheetData>
  <mergeCells count="1"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P1 项目&amp;产品负责人</dc:creator>
  <dc:title xmlns:dc="http://purl.org/dc/elements/1.1/">助农直播管理系统 · 项目管控台账</dc:title>
  <dc:description xmlns:dc="http://purl.org/dc/elements/1.1/">由 docs/ 文档派生；需求、RTM、WBS、风险、里程碑、用例、变更与待确认项</dc:description>
  <dc:subject xmlns:dc="http://purl.org/dc/elements/1.1/">G1 需求与设计基线</dc:subject>
  <dcterms:created xmlns:dcterms="http://purl.org/dc/terms/" xmlns:xsi="http://www.w3.org/2001/XMLSchema-instance" xsi:type="dcterms:W3CDTF">2026-10-19T06:04:58Z</dcterms:created>
  <dcterms:modified xmlns:dcterms="http://purl.org/dc/terms/" xmlns:xsi="http://www.w3.org/2001/XMLSchema-instance" xsi:type="dcterms:W3CDTF">2026-10-19T06:04:58Z</dcterms:modified>
</cp:coreProperties>
</file>